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ource Registry" sheetId="2" state="visible" r:id="rId2"/>
    <sheet name="API Price Database" sheetId="3" state="visible" r:id="rId3"/>
    <sheet name="Open-Weight Model Database" sheetId="4" state="visible" r:id="rId4"/>
    <sheet name="Hardware Database" sheetId="5" state="visible" r:id="rId5"/>
    <sheet name="Model Fit Matrix" sheetId="6" state="visible" r:id="rId6"/>
    <sheet name="Benchmark &amp; Performance" sheetId="7" state="visible" r:id="rId7"/>
    <sheet name="Representative Workloads" sheetId="8" state="visible" r:id="rId8"/>
    <sheet name="API Cost Calculator" sheetId="9" state="visible" r:id="rId9"/>
    <sheet name="Local Hardware TCO" sheetId="10" state="visible" r:id="rId10"/>
    <sheet name="Provider Unit Economics" sheetId="11" state="visible" r:id="rId11"/>
    <sheet name="IE Marketplace Economics" sheetId="12" state="visible" r:id="rId12"/>
    <sheet name="Sensitivity Analysis" sheetId="13" state="visible" r:id="rId13"/>
    <sheet name="Assumptions &amp; Unknow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"/>
    <numFmt numFmtId="166" formatCode="#,##0.0"/>
    <numFmt numFmtId="167" formatCode="0.0%"/>
    <numFmt numFmtId="168" formatCode="$#,##0.0000"/>
  </numFmts>
  <fonts count="1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75569"/>
      <sz val="11"/>
    </font>
    <font>
      <name val="Calibri"/>
      <b val="1"/>
      <color rgb="0064748B"/>
      <sz val="9"/>
    </font>
    <font>
      <name val="Calibri"/>
      <b val="1"/>
      <color rgb="001B365D"/>
      <sz val="13"/>
    </font>
    <font>
      <name val="Calibri"/>
      <i val="1"/>
      <color rgb="00475569"/>
      <sz val="8.5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0B981"/>
      <sz val="10"/>
    </font>
    <font>
      <name val="Calibri"/>
      <b val="1"/>
      <color rgb="00EF4444"/>
      <sz val="10"/>
    </font>
    <font>
      <name val="Calibri"/>
      <b val="1"/>
      <sz val="10"/>
    </font>
    <font>
      <name val="Calibri"/>
      <b val="1"/>
      <color rgb="001B365D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0" borderId="1" pivotButton="0" quotePrefix="0" xfId="0"/>
    <xf numFmtId="0" fontId="8" fillId="4" borderId="1" pivotButton="0" quotePrefix="0" xfId="0"/>
    <xf numFmtId="164" fontId="8" fillId="0" borderId="1" pivotButton="0" quotePrefix="0" xfId="0"/>
    <xf numFmtId="3" fontId="8" fillId="0" borderId="1" pivotButton="0" quotePrefix="0" xfId="0"/>
    <xf numFmtId="165" fontId="8" fillId="0" borderId="1" pivotButton="0" quotePrefix="0" xfId="0"/>
    <xf numFmtId="2" fontId="8" fillId="0" borderId="1" pivotButton="0" quotePrefix="0" xfId="0"/>
    <xf numFmtId="164" fontId="8" fillId="4" borderId="1" pivotButton="0" quotePrefix="0" xfId="0"/>
    <xf numFmtId="3" fontId="8" fillId="4" borderId="1" pivotButton="0" quotePrefix="0" xfId="0"/>
    <xf numFmtId="165" fontId="8" fillId="4" borderId="1" pivotButton="0" quotePrefix="0" xfId="0"/>
    <xf numFmtId="2" fontId="8" fillId="4" borderId="1" pivotButton="0" quotePrefix="0" xfId="0"/>
    <xf numFmtId="166" fontId="8" fillId="0" borderId="1" pivotButton="0" quotePrefix="0" xfId="0"/>
    <xf numFmtId="166" fontId="8" fillId="4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0" fillId="4" borderId="1" pivotButton="0" quotePrefix="0" xfId="0"/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5" fontId="11" fillId="0" borderId="1" pivotButton="0" quotePrefix="0" xfId="0"/>
    <xf numFmtId="164" fontId="0" fillId="0" borderId="1" pivotButton="0" quotePrefix="0" xfId="0"/>
    <xf numFmtId="165" fontId="11" fillId="4" borderId="1" pivotButton="0" quotePrefix="0" xfId="0"/>
    <xf numFmtId="164" fontId="0" fillId="4" borderId="1" pivotButton="0" quotePrefix="0" xfId="0"/>
    <xf numFmtId="167" fontId="8" fillId="0" borderId="1" pivotButton="0" quotePrefix="0" xfId="0"/>
    <xf numFmtId="168" fontId="11" fillId="4" borderId="1" pivotButton="0" quotePrefix="0" xfId="0"/>
    <xf numFmtId="167" fontId="0" fillId="4" borderId="1" pivotButton="0" quotePrefix="0" xfId="0"/>
    <xf numFmtId="164" fontId="12" fillId="4" borderId="1" pivotButton="0" quotePrefix="0" xfId="0"/>
    <xf numFmtId="168" fontId="11" fillId="0" borderId="1" pivotButton="0" quotePrefix="0" xfId="0"/>
    <xf numFmtId="167" fontId="0" fillId="0" borderId="1" pivotButton="0" quotePrefix="0" xfId="0"/>
    <xf numFmtId="164" fontId="12" fillId="0" borderId="1" pivotButton="0" quotePrefix="0" xfId="0"/>
    <xf numFmtId="164" fontId="11" fillId="4" borderId="1" pivotButton="0" quotePrefix="0" xfId="0"/>
    <xf numFmtId="166" fontId="0" fillId="4" borderId="1" pivotButton="0" quotePrefix="0" xfId="0"/>
    <xf numFmtId="164" fontId="11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8" fontId="0" fillId="4" borderId="1" pivotButton="0" quotePrefix="0" xfId="0"/>
    <xf numFmtId="167" fontId="10" fillId="4" borderId="1" pivotButton="0" quotePrefix="0" xfId="0"/>
    <xf numFmtId="167" fontId="9" fillId="4" borderId="1" pivotButton="0" quotePrefix="0" xfId="0"/>
    <xf numFmtId="167" fontId="10" fillId="0" borderId="1" pivotButton="0" quotePrefix="0" xfId="0"/>
    <xf numFmtId="167" fontId="9" fillId="0" borderId="1" pivotButton="0" quotePrefix="0" xfId="0"/>
    <xf numFmtId="0" fontId="13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45" customWidth="1" min="5" max="5"/>
    <col width="12" customWidth="1" min="6" max="6"/>
    <col width="47" customWidth="1" min="7" max="7"/>
    <col width="12" customWidth="1" min="8" max="8"/>
    <col width="44" customWidth="1" min="9" max="9"/>
    <col width="12" customWidth="1" min="10" max="10"/>
  </cols>
  <sheetData>
    <row r="1">
      <c r="A1" s="1" t="inlineStr">
        <is>
          <t>FRONTIER INFERENCE ECONOMICS &amp; INFERENCE EXCHANGE OPPORTUNITY</t>
        </is>
      </c>
    </row>
    <row r="2">
      <c r="A2" s="2" t="inlineStr">
        <is>
          <t>Master Executive Model &amp; Synthesis | Snapshot: October 10-11, 2026 | Sourced from Consolidated Tape</t>
        </is>
      </c>
    </row>
    <row r="3"/>
    <row r="4">
      <c r="A4" s="3" t="inlineStr">
        <is>
          <t>PARETO FRONTIER CHAMPION</t>
        </is>
      </c>
      <c r="B4" s="4" t="n"/>
      <c r="C4" s="3" t="inlineStr">
        <is>
          <t>LOWEST COST-PER-TOKEN</t>
        </is>
      </c>
      <c r="D4" s="4" t="n"/>
      <c r="E4" s="3" t="inlineStr">
        <is>
          <t>MAC STUDIO BANDWIDTH EDGE</t>
        </is>
      </c>
      <c r="F4" s="4" t="n"/>
      <c r="G4" s="3" t="inlineStr">
        <is>
          <t>HARDWARE BREAK-EVEN UTIL</t>
        </is>
      </c>
      <c r="H4" s="4" t="n"/>
      <c r="I4" s="3" t="inlineStr">
        <is>
          <t>CROSS-VENUE PRICE SPREAD</t>
        </is>
      </c>
      <c r="J4" s="4" t="n"/>
    </row>
    <row r="5">
      <c r="A5" s="5" t="inlineStr">
        <is>
          <t>Claude Sonnet 5.5</t>
        </is>
      </c>
      <c r="B5" s="4" t="n"/>
      <c r="C5" s="5" t="inlineStr">
        <is>
          <t>DeepSeek V4.1 Flash</t>
        </is>
      </c>
      <c r="D5" s="4" t="n"/>
      <c r="E5" s="5" t="inlineStr">
        <is>
          <t>1.2 TB/s Unified RAM</t>
        </is>
      </c>
      <c r="F5" s="4" t="n"/>
      <c r="G5" s="5" t="inlineStr">
        <is>
          <t>26.3% vs Sonnet 5.5</t>
        </is>
      </c>
      <c r="H5" s="4" t="n"/>
      <c r="I5" s="5" t="inlineStr">
        <is>
          <t>163% to 260%</t>
        </is>
      </c>
      <c r="J5" s="4" t="n"/>
    </row>
    <row r="6">
      <c r="A6" s="6" t="inlineStr">
        <is>
          <t>81.3% SWE-bench Pro at $1.78/task</t>
        </is>
      </c>
      <c r="B6" s="4" t="n"/>
      <c r="C6" s="6" t="inlineStr">
        <is>
          <t>$0.12 in / $0.24 out on Novita</t>
        </is>
      </c>
      <c r="D6" s="4" t="n"/>
      <c r="E6" s="6" t="inlineStr">
        <is>
          <t>2.25x - 4.4x memory bandwidth of DGX Spark</t>
        </is>
      </c>
      <c r="F6" s="4" t="n"/>
      <c r="G6" s="6" t="inlineStr">
        <is>
          <t>Owning Mac Studio beats API at &gt;22.5M tok/mo</t>
        </is>
      </c>
      <c r="H6" s="4" t="n"/>
      <c r="I6" s="6" t="inlineStr">
        <is>
          <t>Arbitrage gap creates core IE opportunity</t>
        </is>
      </c>
      <c r="J6" s="4" t="n"/>
    </row>
    <row r="7"/>
    <row r="8">
      <c r="A8" s="7" t="inlineStr">
        <is>
          <t>CORE STRATEGIC TAKEAWAYS &amp; DECISION FRAMEWORK</t>
        </is>
      </c>
    </row>
    <row r="9"/>
    <row r="10">
      <c r="A10" s="8" t="inlineStr">
        <is>
          <t>Decision Gate</t>
        </is>
      </c>
      <c r="B10" s="8" t="inlineStr">
        <is>
          <t>Finding / Threshold</t>
        </is>
      </c>
      <c r="C10" s="8" t="inlineStr">
        <is>
          <t>Key Evidence &amp; Economic Mechanism</t>
        </is>
      </c>
      <c r="D10" s="8" t="inlineStr">
        <is>
          <t>Recommended Action</t>
        </is>
      </c>
    </row>
    <row r="11">
      <c r="A11" s="9" t="inlineStr">
        <is>
          <t>Gate A: Buy Hardware or Use APIs?</t>
        </is>
      </c>
      <c r="B11" s="10" t="inlineStr">
        <is>
          <t>Break-even is 26.3% utilization vs Frontier APIs</t>
        </is>
      </c>
      <c r="C11" s="10" t="inlineStr">
        <is>
          <t>Mac Studio M5 Ultra ($5,499) costs $225/mo fully amortized. Delivers tokens at $5.27/Mtok vs Sonnet ($10.00/Mtok).</t>
        </is>
      </c>
      <c r="D11" s="10" t="inlineStr">
        <is>
          <t>Buy Mac Studio M5 Ultra only for teams generating &gt;25M tokens/month (&gt;4.5 hrs/day continuous).</t>
        </is>
      </c>
    </row>
    <row r="12">
      <c r="A12" s="11" t="inlineStr">
        <is>
          <t>Gate B: Local Hardware vs Hosted Open-Weights?</t>
        </is>
      </c>
      <c r="B12" s="12" t="inlineStr">
        <is>
          <t>Hosted Open-Weights BEAT Local Hardware at low concurrency</t>
        </is>
      </c>
      <c r="C12" s="12" t="inlineStr">
        <is>
          <t>Novita &amp; DeepInfra serve DeepSeek V4.1 at $0.24/Mtok out. Local hardware amortized cost is $5.27/Mtok at 50% util.</t>
        </is>
      </c>
      <c r="D12" s="12" t="inlineStr">
        <is>
          <t>Use hosted open providers (Novita, DeepInfra) for cost; use local hardware strictly for privacy/zero-retention.</t>
        </is>
      </c>
    </row>
    <row r="13">
      <c r="A13" s="9" t="inlineStr">
        <is>
          <t>Gate C: Mac Studio vs. NVIDIA DGX Spark?</t>
        </is>
      </c>
      <c r="B13" s="10" t="inlineStr">
        <is>
          <t>Mac Studio wins single-user decode; Spark wins prefill &amp; multi-user batching</t>
        </is>
      </c>
      <c r="C13" s="10" t="inlineStr">
        <is>
          <t>Mac M5 Ultra memory bandwidth (1,200 GB/s) delivers 32.5 tok/s decode vs DGX Spark (273 GB/s, 14.2 tok/s). Spark has 1 PFLOPS FP4 compute.</t>
        </is>
      </c>
      <c r="D13" s="10" t="inlineStr">
        <is>
          <t>Choose Mac Studio for interactive agent coding; choose DGX Spark for continuous batching and multi-agent servers.</t>
        </is>
      </c>
    </row>
    <row r="14">
      <c r="A14" s="11" t="inlineStr">
        <is>
          <t>Gate D: Is Inference Exchange (IE) Worth Building?</t>
        </is>
      </c>
      <c r="B14" s="12" t="inlineStr">
        <is>
          <t>YES: Addressable spread is 163% to 260% across venues</t>
        </is>
      </c>
      <c r="C14" s="12" t="inlineStr">
        <is>
          <t>Novita charges $0.30/Mtok for Llama 3.3 70B while Groq/Fireworks charge $0.79-$0.90. Decentralized supply margin is &gt;85%.</t>
        </is>
      </c>
      <c r="D14" s="12" t="inlineStr">
        <is>
          <t>Launch Product 1: The Smart Router &amp; Optimizer wedge immediately to capture arbitrage, then Product 2.</t>
        </is>
      </c>
    </row>
    <row r="15">
      <c r="A15" s="9" t="inlineStr">
        <is>
          <t>Gate E: What is the Cheapest Frontier Intelligence?</t>
        </is>
      </c>
      <c r="B15" s="10" t="inlineStr">
        <is>
          <t>Claude Sonnet 5.5 ($2/$10) &amp; DeepSeek V4 Pro ($0.22/$0.66)</t>
        </is>
      </c>
      <c r="C15" s="10" t="inlineStr">
        <is>
          <t>On SWE-bench Pro, Sonnet 5.5 resolves 81.3% at $1.78/task. DeepSeek V4 Pro resolves 78.4% at $0.99/task.</t>
        </is>
      </c>
      <c r="D15" s="10" t="inlineStr">
        <is>
          <t>Route coding agents to Sonnet 5.5 / DeepSeek V4 Pro; reserve Claude Opus 5.5 ($3.17/task, 89.9%) for escalated retries.</t>
        </is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50" customWidth="1" min="4" max="4"/>
    <col width="23" customWidth="1" min="5" max="5"/>
    <col width="16" customWidth="1" min="6" max="6"/>
    <col width="50" customWidth="1" min="7" max="7"/>
  </cols>
  <sheetData>
    <row r="1">
      <c r="A1" s="1" t="inlineStr">
        <is>
          <t>SOURCE REGISTRY &amp; VERIFICATION DATABASE</t>
        </is>
      </c>
    </row>
    <row r="2">
      <c r="A2" s="2" t="inlineStr">
        <is>
          <t>Primary sources, API documentation, hardware datasheets, and benchmark leaderboards</t>
        </is>
      </c>
    </row>
    <row r="3"/>
    <row r="4">
      <c r="A4" s="8" t="inlineStr">
        <is>
          <t>Source ID</t>
        </is>
      </c>
      <c r="B4" s="8" t="inlineStr">
        <is>
          <t>Publisher</t>
        </is>
      </c>
      <c r="C4" s="8" t="inlineStr">
        <is>
          <t>Title</t>
        </is>
      </c>
      <c r="D4" s="8" t="inlineStr">
        <is>
          <t>URL</t>
        </is>
      </c>
      <c r="E4" s="8" t="inlineStr">
        <is>
          <t>Retrieved (UTC)</t>
        </is>
      </c>
      <c r="F4" s="8" t="inlineStr">
        <is>
          <t>Evidence Type</t>
        </is>
      </c>
      <c r="G4" s="8" t="inlineStr">
        <is>
          <t>Notes &amp; Methodology</t>
        </is>
      </c>
    </row>
    <row r="5">
      <c r="A5" s="9" t="inlineStr">
        <is>
          <t>SRC-001</t>
        </is>
      </c>
      <c r="B5" s="13" t="inlineStr">
        <is>
          <t>Anthropic PBC</t>
        </is>
      </c>
      <c r="C5" s="13" t="inlineStr">
        <is>
          <t>Anthropic API Pricing &amp; Model Plans</t>
        </is>
      </c>
      <c r="D5" s="13" t="inlineStr">
        <is>
          <t>https://www.anthropic.com/pricing</t>
        </is>
      </c>
      <c r="E5" s="9" t="inlineStr">
        <is>
          <t>2026-10-11T02:55:00Z</t>
        </is>
      </c>
      <c r="F5" s="9" t="inlineStr">
        <is>
          <t>official</t>
        </is>
      </c>
      <c r="G5" s="13" t="inlineStr">
        <is>
          <t>Direct first-party rate card for Claude Opus 5.5, Sonnet 5.5, Haiku 5.5, Fable 5.1; prompt cache discounts</t>
        </is>
      </c>
    </row>
    <row r="6">
      <c r="A6" s="11" t="inlineStr">
        <is>
          <t>SRC-002</t>
        </is>
      </c>
      <c r="B6" s="14" t="inlineStr">
        <is>
          <t>OpenAI Inc.</t>
        </is>
      </c>
      <c r="C6" s="14" t="inlineStr">
        <is>
          <t>OpenAI API Pricing &amp; Token Rate Card</t>
        </is>
      </c>
      <c r="D6" s="14" t="inlineStr">
        <is>
          <t>https://openai.com/api/pricing</t>
        </is>
      </c>
      <c r="E6" s="11" t="inlineStr">
        <is>
          <t>2026-10-11T02:55:00Z</t>
        </is>
      </c>
      <c r="F6" s="11" t="inlineStr">
        <is>
          <t>official</t>
        </is>
      </c>
      <c r="G6" s="14" t="inlineStr">
        <is>
          <t>Direct first-party pricing for GPT-6 Astra, GPT-6 Sol, GPT-6 Luna, GPT-5.x, Batch API discounts, and Flex tier</t>
        </is>
      </c>
    </row>
    <row r="7">
      <c r="A7" s="9" t="inlineStr">
        <is>
          <t>SRC-003</t>
        </is>
      </c>
      <c r="B7" s="13" t="inlineStr">
        <is>
          <t>Google LLC</t>
        </is>
      </c>
      <c r="C7" s="13" t="inlineStr">
        <is>
          <t>Google Gemini API Pricing Card</t>
        </is>
      </c>
      <c r="D7" s="13" t="inlineStr">
        <is>
          <t>https://ai.google.dev/gemini-api/docs/pricing</t>
        </is>
      </c>
      <c r="E7" s="9" t="inlineStr">
        <is>
          <t>2026-10-11T02:55:00Z</t>
        </is>
      </c>
      <c r="F7" s="9" t="inlineStr">
        <is>
          <t>official</t>
        </is>
      </c>
      <c r="G7" s="13" t="inlineStr">
        <is>
          <t>Gemini 3.8 Flash, 4 Argon, context caching costs, and long-context tiers</t>
        </is>
      </c>
    </row>
    <row r="8">
      <c r="A8" s="11" t="inlineStr">
        <is>
          <t>SRC-004</t>
        </is>
      </c>
      <c r="B8" s="14" t="inlineStr">
        <is>
          <t>DeepSeek AI</t>
        </is>
      </c>
      <c r="C8" s="14" t="inlineStr">
        <is>
          <t>DeepSeek API Official Pricing &amp; Off-Peak Discounts</t>
        </is>
      </c>
      <c r="D8" s="14" t="inlineStr">
        <is>
          <t>https://api-docs.deepseek.com/quick_start/pricing</t>
        </is>
      </c>
      <c r="E8" s="11" t="inlineStr">
        <is>
          <t>2026-10-11T02:55:00Z</t>
        </is>
      </c>
      <c r="F8" s="11" t="inlineStr">
        <is>
          <t>official</t>
        </is>
      </c>
      <c r="G8" s="14" t="inlineStr">
        <is>
          <t>DeepSeek V4.1 Flash, V4 Pro, DeepSeek R1 reasoning token billing, prompt cache read discounts</t>
        </is>
      </c>
    </row>
    <row r="9">
      <c r="A9" s="9" t="inlineStr">
        <is>
          <t>SRC-005</t>
        </is>
      </c>
      <c r="B9" s="13" t="inlineStr">
        <is>
          <t>OpenRouter Inc.</t>
        </is>
      </c>
      <c r="C9" s="13" t="inlineStr">
        <is>
          <t>OpenRouter Fee Structure, Upstream Unbundling &amp; BYOK Overages</t>
        </is>
      </c>
      <c r="D9" s="13" t="inlineStr">
        <is>
          <t>https://openrouter.ai/docs#pricing</t>
        </is>
      </c>
      <c r="E9" s="9" t="inlineStr">
        <is>
          <t>2026-10-11T03:00:00Z</t>
        </is>
      </c>
      <c r="F9" s="9" t="inlineStr">
        <is>
          <t>official</t>
        </is>
      </c>
      <c r="G9" s="13" t="inlineStr">
        <is>
          <t>5.5% top-up fee, pass-through upstream pricing, $25k BYOK allowance then 5% overage fee</t>
        </is>
      </c>
    </row>
    <row r="10">
      <c r="A10" s="11" t="inlineStr">
        <is>
          <t>SRC-006</t>
        </is>
      </c>
      <c r="B10" s="14" t="inlineStr">
        <is>
          <t>Apple Inc.</t>
        </is>
      </c>
      <c r="C10" s="14" t="inlineStr">
        <is>
          <t>Apple Mac Studio Technical Specifications &amp; Pricing</t>
        </is>
      </c>
      <c r="D10" s="14" t="inlineStr">
        <is>
          <t>https://www.apple.com/mac-studio/specs/</t>
        </is>
      </c>
      <c r="E10" s="11" t="inlineStr">
        <is>
          <t>2026-10-11T03:05:00Z</t>
        </is>
      </c>
      <c r="F10" s="11" t="inlineStr">
        <is>
          <t>official</t>
        </is>
      </c>
      <c r="G10" s="14" t="inlineStr">
        <is>
          <t>M5 Max (614 GB/s bandwidth, 128GB unified memory) and M5 Ultra (1.2 TB/s bandwidth, 256GB / 512GB)</t>
        </is>
      </c>
    </row>
    <row r="11">
      <c r="A11" s="9" t="inlineStr">
        <is>
          <t>SRC-007</t>
        </is>
      </c>
      <c r="B11" s="13" t="inlineStr">
        <is>
          <t>NVIDIA Corporation</t>
        </is>
      </c>
      <c r="C11" s="13" t="inlineStr">
        <is>
          <t>NVIDIA DGX Spark Datasheet &amp; Architecture Whitepaper</t>
        </is>
      </c>
      <c r="D11" s="13" t="inlineStr">
        <is>
          <t>https://www.nvidia.com/en-us/data-center/dgx-spark/</t>
        </is>
      </c>
      <c r="E11" s="9" t="inlineStr">
        <is>
          <t>2026-10-11T03:05:00Z</t>
        </is>
      </c>
      <c r="F11" s="9" t="inlineStr">
        <is>
          <t>official</t>
        </is>
      </c>
      <c r="G11" s="13" t="inlineStr">
        <is>
          <t>GB10 Grace Blackwell Superchip, 128GB LPDDR5x, 273 GB/s bandwidth, 1 PFLOPS FP4, dual ConnectX-7 200Gb/s</t>
        </is>
      </c>
    </row>
    <row r="12">
      <c r="A12" s="11" t="inlineStr">
        <is>
          <t>SRC-008</t>
        </is>
      </c>
      <c r="B12" s="14" t="inlineStr">
        <is>
          <t>Artificial Analysis</t>
        </is>
      </c>
      <c r="C12" s="14" t="inlineStr">
        <is>
          <t>Artificial Analysis Intelligence Index v4.3.2 &amp; Speed Benchmarks</t>
        </is>
      </c>
      <c r="D12" s="14" t="inlineStr">
        <is>
          <t>https://artificialanalysis.ai/models</t>
        </is>
      </c>
      <c r="E12" s="11" t="inlineStr">
        <is>
          <t>2026-10-11T03:10:00Z</t>
        </is>
      </c>
      <c r="F12" s="11" t="inlineStr">
        <is>
          <t>independent</t>
        </is>
      </c>
      <c r="G12" s="14" t="inlineStr">
        <is>
          <t>Standardized speed (TPS), TTFT, quality index, and run cost per model across major providers</t>
        </is>
      </c>
    </row>
    <row r="13">
      <c r="A13" s="9" t="inlineStr">
        <is>
          <t>SRC-009</t>
        </is>
      </c>
      <c r="B13" s="13" t="inlineStr">
        <is>
          <t>Scale AI &amp; SWE-bench Authors</t>
        </is>
      </c>
      <c r="C13" s="13" t="inlineStr">
        <is>
          <t>SWE-bench Pro Leaderboard &amp; Verified Standings</t>
        </is>
      </c>
      <c r="D13" s="13" t="inlineStr">
        <is>
          <t>https://www.swebench.com/pro</t>
        </is>
      </c>
      <c r="E13" s="9" t="inlineStr">
        <is>
          <t>2026-10-11T03:10:00Z</t>
        </is>
      </c>
      <c r="F13" s="9" t="inlineStr">
        <is>
          <t>independent</t>
        </is>
      </c>
      <c r="G13" s="13" t="inlineStr">
        <is>
          <t>Contamination-resistant repository-level coding benchmark results for Claude 5.5, GPT-6, DeepSeek, and Qwen</t>
        </is>
      </c>
    </row>
    <row r="14">
      <c r="A14" s="11" t="inlineStr">
        <is>
          <t>SRC-010</t>
        </is>
      </c>
      <c r="B14" s="14" t="inlineStr">
        <is>
          <t>TBench Team</t>
        </is>
      </c>
      <c r="C14" s="14" t="inlineStr">
        <is>
          <t>Terminal-Bench 2.0 / 4.0 Leaderboard</t>
        </is>
      </c>
      <c r="D14" s="14" t="inlineStr">
        <is>
          <t>https://tbench.ai</t>
        </is>
      </c>
      <c r="E14" s="11" t="inlineStr">
        <is>
          <t>2026-10-11T03:10:00Z</t>
        </is>
      </c>
      <c r="F14" s="11" t="inlineStr">
        <is>
          <t>independent</t>
        </is>
      </c>
      <c r="G14" s="14" t="inlineStr">
        <is>
          <t>CLI and agentic command-line software engineering benchmark</t>
        </is>
      </c>
    </row>
    <row r="15">
      <c r="A15" s="9" t="inlineStr">
        <is>
          <t>SRC-011</t>
        </is>
      </c>
      <c r="B15" s="13" t="inlineStr">
        <is>
          <t>U.S. Energy Information Administration (EIA)</t>
        </is>
      </c>
      <c r="C15" s="13" t="inlineStr">
        <is>
          <t>Electric Power Monthly (July 2026 Data)</t>
        </is>
      </c>
      <c r="D15" s="13" t="inlineStr">
        <is>
          <t>https://www.eia.gov/electricity/monthly/epm_table_grapher.php?t=epmt_5_6_a</t>
        </is>
      </c>
      <c r="E15" s="9" t="inlineStr">
        <is>
          <t>2026-10-11T03:15:00Z</t>
        </is>
      </c>
      <c r="F15" s="9" t="inlineStr">
        <is>
          <t>official</t>
        </is>
      </c>
      <c r="G15" s="13" t="inlineStr">
        <is>
          <t>US retail electricity revenues: California, Texas, and national residential/commercial/industrial averages</t>
        </is>
      </c>
    </row>
    <row r="16">
      <c r="A16" s="11" t="inlineStr">
        <is>
          <t>SRC-012</t>
        </is>
      </c>
      <c r="B16" s="14" t="inlineStr">
        <is>
          <t>Exo Labs</t>
        </is>
      </c>
      <c r="C16" s="14" t="inlineStr">
        <is>
          <t>exo: Distributed Apple Silicon RDMA over Thunderbolt 5</t>
        </is>
      </c>
      <c r="D16" s="14" t="inlineStr">
        <is>
          <t>https://github.com/exo-explore/exo</t>
        </is>
      </c>
      <c r="E16" s="11" t="inlineStr">
        <is>
          <t>2026-10-11T03:15:00Z</t>
        </is>
      </c>
      <c r="F16" s="11" t="inlineStr">
        <is>
          <t>independent</t>
        </is>
      </c>
      <c r="G16" s="14" t="inlineStr">
        <is>
          <t>Thunderbolt 5 RDMA latency (&lt;50µs), tensor parallel speedups (1.8x on 2 nodes, 3.2x on 4 nodes), 671B model throughput</t>
        </is>
      </c>
    </row>
    <row r="17">
      <c r="A17" s="9" t="inlineStr">
        <is>
          <t>SRC-013</t>
        </is>
      </c>
      <c r="B17" s="13" t="inlineStr">
        <is>
          <t>RunPod Inc.</t>
        </is>
      </c>
      <c r="C17" s="13" t="inlineStr">
        <is>
          <t>RunPod GPU Cloud Hourly Pricing &amp; Community Cloud</t>
        </is>
      </c>
      <c r="D17" s="13" t="inlineStr">
        <is>
          <t>https://cloud.runpod.io/pricing</t>
        </is>
      </c>
      <c r="E17" s="9" t="inlineStr">
        <is>
          <t>2026-10-11T03:20:00Z</t>
        </is>
      </c>
      <c r="F17" s="9" t="inlineStr">
        <is>
          <t>official</t>
        </is>
      </c>
      <c r="G17" s="13" t="inlineStr">
        <is>
          <t>H100, H200, B200, and RTX 5090/4090 spot and on-demand pricing</t>
        </is>
      </c>
    </row>
    <row r="18">
      <c r="A18" s="11" t="inlineStr">
        <is>
          <t>SRC-014</t>
        </is>
      </c>
      <c r="B18" s="14" t="inlineStr">
        <is>
          <t>Vast.ai Inc.</t>
        </is>
      </c>
      <c r="C18" s="14" t="inlineStr">
        <is>
          <t>Vast.ai Marketplace GPU Auction Rates</t>
        </is>
      </c>
      <c r="D18" s="14" t="inlineStr">
        <is>
          <t>https://vast.ai/pricing</t>
        </is>
      </c>
      <c r="E18" s="11" t="inlineStr">
        <is>
          <t>2026-10-11T03:20:00Z</t>
        </is>
      </c>
      <c r="F18" s="11" t="inlineStr">
        <is>
          <t>independent</t>
        </is>
      </c>
      <c r="G18" s="14" t="inlineStr">
        <is>
          <t>Distributed marketplace clearing rates for data center and consumer GPUs</t>
        </is>
      </c>
    </row>
    <row r="19">
      <c r="A19" s="9" t="inlineStr">
        <is>
          <t>SRC-015</t>
        </is>
      </c>
      <c r="B19" s="13" t="inlineStr">
        <is>
          <t>Inference Exchange Ticker Plant</t>
        </is>
      </c>
      <c r="C19" s="13" t="inlineStr">
        <is>
          <t>Consolidated Tape Market Data (SQLite/CSV)</t>
        </is>
      </c>
      <c r="D19" s="13" t="inlineStr">
        <is>
          <t>https://tickerplant.inference.exchange/consolidated-tape</t>
        </is>
      </c>
      <c r="E19" s="9" t="inlineStr">
        <is>
          <t>2026-10-11T03:25:00Z</t>
        </is>
      </c>
      <c r="F19" s="9" t="inlineStr">
        <is>
          <t>independent</t>
        </is>
      </c>
      <c r="G19" s="13" t="inlineStr">
        <is>
          <t>15,768 historical ticks, Level 2 depth of market, cross-venue spread across 50+ providers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1" customWidth="1" min="3" max="3"/>
    <col width="27" customWidth="1" min="4" max="4"/>
    <col width="16" customWidth="1" min="5" max="5"/>
    <col width="17" customWidth="1" min="6" max="6"/>
    <col width="18" customWidth="1" min="7" max="7"/>
    <col width="21" customWidth="1" min="8" max="8"/>
    <col width="20" customWidth="1" min="9" max="9"/>
    <col width="21" customWidth="1" min="10" max="10"/>
    <col width="17" customWidth="1" min="11" max="11"/>
    <col width="13" customWidth="1" min="12" max="12"/>
    <col width="19" customWidth="1" min="13" max="13"/>
    <col width="12" customWidth="1" min="14" max="14"/>
    <col width="15" customWidth="1" min="15" max="15"/>
    <col width="18" customWidth="1" min="16" max="16"/>
  </cols>
  <sheetData>
    <row r="1">
      <c r="A1" s="1" t="inlineStr">
        <is>
          <t>COMMERCIAL FRONTIER MODEL API RATE CARDS</t>
        </is>
      </c>
    </row>
    <row r="2">
      <c r="A2" s="2" t="inlineStr">
        <is>
          <t>First-party labs and third-party hosted token pricing, caching discounts, and context limits</t>
        </is>
      </c>
    </row>
    <row r="3"/>
    <row r="4">
      <c r="A4" s="8" t="inlineStr">
        <is>
          <t>Model Key</t>
        </is>
      </c>
      <c r="B4" s="8" t="inlineStr">
        <is>
          <t>Provider</t>
        </is>
      </c>
      <c r="C4" s="8" t="inlineStr">
        <is>
          <t>Model ID</t>
        </is>
      </c>
      <c r="D4" s="8" t="inlineStr">
        <is>
          <t>Venue Type</t>
        </is>
      </c>
      <c r="E4" s="8" t="inlineStr">
        <is>
          <t>Tier</t>
        </is>
      </c>
      <c r="F4" s="8" t="inlineStr">
        <is>
          <t>Input ($/Mtok)</t>
        </is>
      </c>
      <c r="G4" s="8" t="inlineStr">
        <is>
          <t>Output ($/Mtok)</t>
        </is>
      </c>
      <c r="H4" s="8" t="inlineStr">
        <is>
          <t>Cached In ($/Mtok)</t>
        </is>
      </c>
      <c r="I4" s="8" t="inlineStr">
        <is>
          <t>Batch In ($/Mtok)</t>
        </is>
      </c>
      <c r="J4" s="8" t="inlineStr">
        <is>
          <t>Batch Out ($/Mtok)</t>
        </is>
      </c>
      <c r="K4" s="8" t="inlineStr">
        <is>
          <t>Context Window</t>
        </is>
      </c>
      <c r="L4" s="8" t="inlineStr">
        <is>
          <t>Max Output</t>
        </is>
      </c>
      <c r="M4" s="8" t="inlineStr">
        <is>
          <t>Throughput (TPS)</t>
        </is>
      </c>
      <c r="N4" s="8" t="inlineStr">
        <is>
          <t>TTFT (s)</t>
        </is>
      </c>
      <c r="O4" s="8" t="inlineStr">
        <is>
          <t>Release Date</t>
        </is>
      </c>
      <c r="P4" s="8" t="inlineStr">
        <is>
          <t>Source Ref</t>
        </is>
      </c>
    </row>
    <row r="5">
      <c r="A5" s="13" t="inlineStr">
        <is>
          <t>claude-opus-5.5</t>
        </is>
      </c>
      <c r="B5" s="13" t="inlineStr">
        <is>
          <t>anthropic</t>
        </is>
      </c>
      <c r="C5" s="13" t="inlineStr">
        <is>
          <t>claude-opus-5.5-20260921</t>
        </is>
      </c>
      <c r="D5" s="9" t="inlineStr">
        <is>
          <t>frontier-lab-first-party</t>
        </is>
      </c>
      <c r="E5" s="9" t="inlineStr">
        <is>
          <t>frontier</t>
        </is>
      </c>
      <c r="F5" s="15" t="n">
        <v>4</v>
      </c>
      <c r="G5" s="15" t="n">
        <v>20</v>
      </c>
      <c r="H5" s="15" t="n">
        <v>0.2</v>
      </c>
      <c r="I5" s="15" t="n">
        <v>2</v>
      </c>
      <c r="J5" s="15" t="n">
        <v>10</v>
      </c>
      <c r="K5" s="16" t="n">
        <v>1000000</v>
      </c>
      <c r="L5" s="16" t="n">
        <v>32768</v>
      </c>
      <c r="M5" s="17" t="n">
        <v>42.5</v>
      </c>
      <c r="N5" s="18" t="n">
        <v>0.85</v>
      </c>
      <c r="O5" s="9" t="inlineStr">
        <is>
          <t>2026-09-21</t>
        </is>
      </c>
      <c r="P5" s="9" t="inlineStr">
        <is>
          <t>SRC-001;SRC-008</t>
        </is>
      </c>
    </row>
    <row r="6">
      <c r="A6" s="14" t="inlineStr">
        <is>
          <t>claude-sonnet-5.5</t>
        </is>
      </c>
      <c r="B6" s="14" t="inlineStr">
        <is>
          <t>anthropic</t>
        </is>
      </c>
      <c r="C6" s="14" t="inlineStr">
        <is>
          <t>claude-sonnet-5.5-20260928</t>
        </is>
      </c>
      <c r="D6" s="11" t="inlineStr">
        <is>
          <t>frontier-lab-first-party</t>
        </is>
      </c>
      <c r="E6" s="11" t="inlineStr">
        <is>
          <t>frontier</t>
        </is>
      </c>
      <c r="F6" s="19" t="n">
        <v>2</v>
      </c>
      <c r="G6" s="19" t="n">
        <v>10</v>
      </c>
      <c r="H6" s="19" t="n">
        <v>0.1</v>
      </c>
      <c r="I6" s="19" t="n">
        <v>1</v>
      </c>
      <c r="J6" s="19" t="n">
        <v>5</v>
      </c>
      <c r="K6" s="20" t="n">
        <v>1000000</v>
      </c>
      <c r="L6" s="20" t="n">
        <v>16384</v>
      </c>
      <c r="M6" s="21" t="n">
        <v>78</v>
      </c>
      <c r="N6" s="22" t="n">
        <v>0.52</v>
      </c>
      <c r="O6" s="11" t="inlineStr">
        <is>
          <t>2026-09-28</t>
        </is>
      </c>
      <c r="P6" s="11" t="inlineStr">
        <is>
          <t>SRC-001;SRC-008</t>
        </is>
      </c>
    </row>
    <row r="7">
      <c r="A7" s="13" t="inlineStr">
        <is>
          <t>claude-fable-5.1</t>
        </is>
      </c>
      <c r="B7" s="13" t="inlineStr">
        <is>
          <t>anthropic</t>
        </is>
      </c>
      <c r="C7" s="13" t="inlineStr">
        <is>
          <t>claude-fable-5.1-20260810</t>
        </is>
      </c>
      <c r="D7" s="9" t="inlineStr">
        <is>
          <t>frontier-lab-first-party</t>
        </is>
      </c>
      <c r="E7" s="9" t="inlineStr">
        <is>
          <t>frontier</t>
        </is>
      </c>
      <c r="F7" s="15" t="n">
        <v>10</v>
      </c>
      <c r="G7" s="15" t="n">
        <v>50</v>
      </c>
      <c r="H7" s="15" t="n">
        <v>0.25</v>
      </c>
      <c r="I7" s="15" t="n">
        <v>5</v>
      </c>
      <c r="J7" s="15" t="n">
        <v>25</v>
      </c>
      <c r="K7" s="16" t="n">
        <v>1000000</v>
      </c>
      <c r="L7" s="16" t="n">
        <v>32768</v>
      </c>
      <c r="M7" s="17" t="n">
        <v>28.5</v>
      </c>
      <c r="N7" s="18" t="n">
        <v>1.2</v>
      </c>
      <c r="O7" s="9" t="inlineStr">
        <is>
          <t>2026-08-10</t>
        </is>
      </c>
      <c r="P7" s="9" t="inlineStr">
        <is>
          <t>SRC-001</t>
        </is>
      </c>
    </row>
    <row r="8">
      <c r="A8" s="14" t="inlineStr">
        <is>
          <t>claude-haiku-5.5</t>
        </is>
      </c>
      <c r="B8" s="14" t="inlineStr">
        <is>
          <t>anthropic</t>
        </is>
      </c>
      <c r="C8" s="14" t="inlineStr">
        <is>
          <t>claude-haiku-5.5-20261002</t>
        </is>
      </c>
      <c r="D8" s="11" t="inlineStr">
        <is>
          <t>frontier-lab-first-party</t>
        </is>
      </c>
      <c r="E8" s="11" t="inlineStr">
        <is>
          <t>small/fast</t>
        </is>
      </c>
      <c r="F8" s="19" t="n">
        <v>0.8</v>
      </c>
      <c r="G8" s="19" t="n">
        <v>4</v>
      </c>
      <c r="H8" s="19" t="n">
        <v>0.08</v>
      </c>
      <c r="I8" s="19" t="n">
        <v>0.4</v>
      </c>
      <c r="J8" s="19" t="n">
        <v>2</v>
      </c>
      <c r="K8" s="20" t="n">
        <v>500000</v>
      </c>
      <c r="L8" s="20" t="n">
        <v>8192</v>
      </c>
      <c r="M8" s="21" t="n">
        <v>135</v>
      </c>
      <c r="N8" s="22" t="n">
        <v>0.28</v>
      </c>
      <c r="O8" s="11" t="inlineStr">
        <is>
          <t>2026-10-02</t>
        </is>
      </c>
      <c r="P8" s="11" t="inlineStr">
        <is>
          <t>SRC-001;SRC-008</t>
        </is>
      </c>
    </row>
    <row r="9">
      <c r="A9" s="13" t="inlineStr">
        <is>
          <t>gpt-6-astra</t>
        </is>
      </c>
      <c r="B9" s="13" t="inlineStr">
        <is>
          <t>openai</t>
        </is>
      </c>
      <c r="C9" s="13" t="inlineStr">
        <is>
          <t>gpt-6-astra-20260915</t>
        </is>
      </c>
      <c r="D9" s="9" t="inlineStr">
        <is>
          <t>frontier-lab-first-party</t>
        </is>
      </c>
      <c r="E9" s="9" t="inlineStr">
        <is>
          <t>frontier</t>
        </is>
      </c>
      <c r="F9" s="15" t="n">
        <v>10</v>
      </c>
      <c r="G9" s="15" t="n">
        <v>50</v>
      </c>
      <c r="H9" s="15" t="n">
        <v>1</v>
      </c>
      <c r="I9" s="15" t="n">
        <v>5</v>
      </c>
      <c r="J9" s="15" t="n">
        <v>25</v>
      </c>
      <c r="K9" s="16" t="n">
        <v>1050000</v>
      </c>
      <c r="L9" s="16" t="n">
        <v>32768</v>
      </c>
      <c r="M9" s="17" t="n">
        <v>38</v>
      </c>
      <c r="N9" s="18" t="n">
        <v>0.95</v>
      </c>
      <c r="O9" s="9" t="inlineStr">
        <is>
          <t>2026-09-15</t>
        </is>
      </c>
      <c r="P9" s="9" t="inlineStr">
        <is>
          <t>SRC-002;SRC-008</t>
        </is>
      </c>
    </row>
    <row r="10">
      <c r="A10" s="14" t="inlineStr">
        <is>
          <t>gpt-6-sol</t>
        </is>
      </c>
      <c r="B10" s="14" t="inlineStr">
        <is>
          <t>openai</t>
        </is>
      </c>
      <c r="C10" s="14" t="inlineStr">
        <is>
          <t>gpt-6.1-sol-20260929</t>
        </is>
      </c>
      <c r="D10" s="11" t="inlineStr">
        <is>
          <t>frontier-lab-first-party</t>
        </is>
      </c>
      <c r="E10" s="11" t="inlineStr">
        <is>
          <t>frontier</t>
        </is>
      </c>
      <c r="F10" s="19" t="n">
        <v>2</v>
      </c>
      <c r="G10" s="19" t="n">
        <v>10</v>
      </c>
      <c r="H10" s="19" t="n">
        <v>0.1</v>
      </c>
      <c r="I10" s="19" t="n">
        <v>1</v>
      </c>
      <c r="J10" s="19" t="n">
        <v>5</v>
      </c>
      <c r="K10" s="20" t="n">
        <v>1050000</v>
      </c>
      <c r="L10" s="20" t="n">
        <v>16384</v>
      </c>
      <c r="M10" s="21" t="n">
        <v>82</v>
      </c>
      <c r="N10" s="22" t="n">
        <v>0.48</v>
      </c>
      <c r="O10" s="11" t="inlineStr">
        <is>
          <t>2026-09-29</t>
        </is>
      </c>
      <c r="P10" s="11" t="inlineStr">
        <is>
          <t>SRC-002;SRC-008</t>
        </is>
      </c>
    </row>
    <row r="11">
      <c r="A11" s="13" t="inlineStr">
        <is>
          <t>gpt-6-luna</t>
        </is>
      </c>
      <c r="B11" s="13" t="inlineStr">
        <is>
          <t>openai</t>
        </is>
      </c>
      <c r="C11" s="13" t="inlineStr">
        <is>
          <t>gpt-6-luna-20260922</t>
        </is>
      </c>
      <c r="D11" s="9" t="inlineStr">
        <is>
          <t>frontier-lab-first-party</t>
        </is>
      </c>
      <c r="E11" s="9" t="inlineStr">
        <is>
          <t>small/fast</t>
        </is>
      </c>
      <c r="F11" s="15" t="n">
        <v>0.1</v>
      </c>
      <c r="G11" s="15" t="n">
        <v>0.5</v>
      </c>
      <c r="H11" s="15" t="n">
        <v>0.01</v>
      </c>
      <c r="I11" s="15" t="n">
        <v>0.05</v>
      </c>
      <c r="J11" s="15" t="n">
        <v>0.25</v>
      </c>
      <c r="K11" s="16" t="n">
        <v>1050000</v>
      </c>
      <c r="L11" s="16" t="n">
        <v>8192</v>
      </c>
      <c r="M11" s="17" t="n">
        <v>165</v>
      </c>
      <c r="N11" s="18" t="n">
        <v>0.22</v>
      </c>
      <c r="O11" s="9" t="inlineStr">
        <is>
          <t>2026-09-22</t>
        </is>
      </c>
      <c r="P11" s="9" t="inlineStr">
        <is>
          <t>SRC-002</t>
        </is>
      </c>
    </row>
    <row r="12">
      <c r="A12" s="14" t="inlineStr">
        <is>
          <t>gemini-4-argon</t>
        </is>
      </c>
      <c r="B12" s="14" t="inlineStr">
        <is>
          <t>google</t>
        </is>
      </c>
      <c r="C12" s="14" t="inlineStr">
        <is>
          <t>gemini-4-argon-preview</t>
        </is>
      </c>
      <c r="D12" s="11" t="inlineStr">
        <is>
          <t>frontier-lab-first-party</t>
        </is>
      </c>
      <c r="E12" s="11" t="inlineStr">
        <is>
          <t>frontier</t>
        </is>
      </c>
      <c r="F12" s="19" t="n">
        <v>1.75</v>
      </c>
      <c r="G12" s="19" t="n">
        <v>7</v>
      </c>
      <c r="H12" s="19" t="n">
        <v>0.175</v>
      </c>
      <c r="I12" s="19" t="n">
        <v>0.875</v>
      </c>
      <c r="J12" s="19" t="n">
        <v>3.5</v>
      </c>
      <c r="K12" s="20" t="n">
        <v>2000000</v>
      </c>
      <c r="L12" s="20" t="n">
        <v>65536</v>
      </c>
      <c r="M12" s="21" t="n">
        <v>95</v>
      </c>
      <c r="N12" s="22" t="n">
        <v>0.45</v>
      </c>
      <c r="O12" s="11" t="inlineStr">
        <is>
          <t>2026-09-25</t>
        </is>
      </c>
      <c r="P12" s="11" t="inlineStr">
        <is>
          <t>SRC-003;SRC-008</t>
        </is>
      </c>
    </row>
    <row r="13">
      <c r="A13" s="13" t="inlineStr">
        <is>
          <t>gemini-3.8-flash</t>
        </is>
      </c>
      <c r="B13" s="13" t="inlineStr">
        <is>
          <t>google</t>
        </is>
      </c>
      <c r="C13" s="13" t="inlineStr">
        <is>
          <t>gemini-3.8-flash-20260902</t>
        </is>
      </c>
      <c r="D13" s="9" t="inlineStr">
        <is>
          <t>frontier-lab-first-party</t>
        </is>
      </c>
      <c r="E13" s="9" t="inlineStr">
        <is>
          <t>mid</t>
        </is>
      </c>
      <c r="F13" s="15" t="n">
        <v>0.15</v>
      </c>
      <c r="G13" s="15" t="n">
        <v>0.6</v>
      </c>
      <c r="H13" s="15" t="n">
        <v>0.0375</v>
      </c>
      <c r="I13" s="15" t="n">
        <v>0.075</v>
      </c>
      <c r="J13" s="15" t="n">
        <v>0.3</v>
      </c>
      <c r="K13" s="16" t="n">
        <v>1000000</v>
      </c>
      <c r="L13" s="16" t="n">
        <v>16384</v>
      </c>
      <c r="M13" s="17" t="n">
        <v>180</v>
      </c>
      <c r="N13" s="18" t="n">
        <v>0.24</v>
      </c>
      <c r="O13" s="9" t="inlineStr">
        <is>
          <t>2026-09-02</t>
        </is>
      </c>
      <c r="P13" s="9" t="inlineStr">
        <is>
          <t>SRC-003</t>
        </is>
      </c>
    </row>
    <row r="14">
      <c r="A14" s="14" t="inlineStr">
        <is>
          <t>deepseek-v4.1-flash</t>
        </is>
      </c>
      <c r="B14" s="14" t="inlineStr">
        <is>
          <t>deepseek</t>
        </is>
      </c>
      <c r="C14" s="14" t="inlineStr">
        <is>
          <t>deepseek-v4.1-flash-20260910</t>
        </is>
      </c>
      <c r="D14" s="11" t="inlineStr">
        <is>
          <t>open-lab-first-party</t>
        </is>
      </c>
      <c r="E14" s="11" t="inlineStr">
        <is>
          <t>near-frontier</t>
        </is>
      </c>
      <c r="F14" s="19" t="n">
        <v>0.14</v>
      </c>
      <c r="G14" s="19" t="n">
        <v>0.28</v>
      </c>
      <c r="H14" s="19" t="n">
        <v>0.014</v>
      </c>
      <c r="I14" s="19" t="n">
        <v>0.07000000000000001</v>
      </c>
      <c r="J14" s="19" t="n">
        <v>0.14</v>
      </c>
      <c r="K14" s="20" t="n">
        <v>131072</v>
      </c>
      <c r="L14" s="20" t="n">
        <v>16384</v>
      </c>
      <c r="M14" s="21" t="n">
        <v>110</v>
      </c>
      <c r="N14" s="22" t="n">
        <v>0.38</v>
      </c>
      <c r="O14" s="11" t="inlineStr">
        <is>
          <t>2026-09-10</t>
        </is>
      </c>
      <c r="P14" s="11" t="inlineStr">
        <is>
          <t>SRC-004;SRC-015</t>
        </is>
      </c>
    </row>
    <row r="15">
      <c r="A15" s="13" t="inlineStr">
        <is>
          <t>deepseek-v4-pro</t>
        </is>
      </c>
      <c r="B15" s="13" t="inlineStr">
        <is>
          <t>deepseek</t>
        </is>
      </c>
      <c r="C15" s="13" t="inlineStr">
        <is>
          <t>deepseek-v4-pro-0813</t>
        </is>
      </c>
      <c r="D15" s="9" t="inlineStr">
        <is>
          <t>open-lab-first-party</t>
        </is>
      </c>
      <c r="E15" s="9" t="inlineStr">
        <is>
          <t>frontier</t>
        </is>
      </c>
      <c r="F15" s="15" t="n">
        <v>0.22</v>
      </c>
      <c r="G15" s="15" t="n">
        <v>0.66</v>
      </c>
      <c r="H15" s="15" t="n">
        <v>0.022</v>
      </c>
      <c r="I15" s="15" t="n">
        <v>0.11</v>
      </c>
      <c r="J15" s="15" t="n">
        <v>0.33</v>
      </c>
      <c r="K15" s="16" t="n">
        <v>262144</v>
      </c>
      <c r="L15" s="16" t="n">
        <v>32768</v>
      </c>
      <c r="M15" s="17" t="n">
        <v>65</v>
      </c>
      <c r="N15" s="18" t="n">
        <v>0.62</v>
      </c>
      <c r="O15" s="9" t="inlineStr">
        <is>
          <t>2026-08-13</t>
        </is>
      </c>
      <c r="P15" s="9" t="inlineStr">
        <is>
          <t>SRC-004;SRC-009</t>
        </is>
      </c>
    </row>
    <row r="16">
      <c r="A16" s="14" t="inlineStr">
        <is>
          <t>kimi-k3</t>
        </is>
      </c>
      <c r="B16" s="14" t="inlineStr">
        <is>
          <t>moonshot</t>
        </is>
      </c>
      <c r="C16" s="14" t="inlineStr">
        <is>
          <t>moonshotai/kimi-k3</t>
        </is>
      </c>
      <c r="D16" s="11" t="inlineStr">
        <is>
          <t>open-lab-first-party</t>
        </is>
      </c>
      <c r="E16" s="11" t="inlineStr">
        <is>
          <t>frontier</t>
        </is>
      </c>
      <c r="F16" s="19" t="n">
        <v>0.8</v>
      </c>
      <c r="G16" s="19" t="n">
        <v>15</v>
      </c>
      <c r="H16" s="19" t="n">
        <v>0.55</v>
      </c>
      <c r="I16" s="19" t="n">
        <v>0.4</v>
      </c>
      <c r="J16" s="19" t="n">
        <v>7.5</v>
      </c>
      <c r="K16" s="20" t="n">
        <v>1048576</v>
      </c>
      <c r="L16" s="20" t="n">
        <v>32768</v>
      </c>
      <c r="M16" s="21" t="n">
        <v>48</v>
      </c>
      <c r="N16" s="22" t="n">
        <v>0.72</v>
      </c>
      <c r="O16" s="11" t="inlineStr">
        <is>
          <t>2026-07-15</t>
        </is>
      </c>
      <c r="P16" s="11" t="inlineStr">
        <is>
          <t>SRC-015</t>
        </is>
      </c>
    </row>
    <row r="17">
      <c r="A17" s="13" t="inlineStr">
        <is>
          <t>glm-5.3</t>
        </is>
      </c>
      <c r="B17" s="13" t="inlineStr">
        <is>
          <t>z-ai</t>
        </is>
      </c>
      <c r="C17" s="13" t="inlineStr">
        <is>
          <t>z-ai/glm-5.3-20260816</t>
        </is>
      </c>
      <c r="D17" s="9" t="inlineStr">
        <is>
          <t>open-lab-first-party</t>
        </is>
      </c>
      <c r="E17" s="9" t="inlineStr">
        <is>
          <t>frontier</t>
        </is>
      </c>
      <c r="F17" s="15" t="n">
        <v>0.6</v>
      </c>
      <c r="G17" s="15" t="n">
        <v>1.92</v>
      </c>
      <c r="H17" s="15" t="n">
        <v>0.12</v>
      </c>
      <c r="I17" s="15" t="n">
        <v>0.3</v>
      </c>
      <c r="J17" s="15" t="n">
        <v>0.96</v>
      </c>
      <c r="K17" s="16" t="n">
        <v>262144</v>
      </c>
      <c r="L17" s="16" t="n">
        <v>16384</v>
      </c>
      <c r="M17" s="17" t="n">
        <v>72</v>
      </c>
      <c r="N17" s="18" t="n">
        <v>0.55</v>
      </c>
      <c r="O17" s="9" t="inlineStr">
        <is>
          <t>2026-08-16</t>
        </is>
      </c>
      <c r="P17" s="9" t="inlineStr">
        <is>
          <t>SRC-009;SRC-015</t>
        </is>
      </c>
    </row>
    <row r="18">
      <c r="A18" s="14" t="inlineStr">
        <is>
          <t>qwen3.8-max</t>
        </is>
      </c>
      <c r="B18" s="14" t="inlineStr">
        <is>
          <t>alibaba</t>
        </is>
      </c>
      <c r="C18" s="14" t="inlineStr">
        <is>
          <t>qwen/qwen3.8-max-0902</t>
        </is>
      </c>
      <c r="D18" s="11" t="inlineStr">
        <is>
          <t>open-lab-first-party</t>
        </is>
      </c>
      <c r="E18" s="11" t="inlineStr">
        <is>
          <t>frontier</t>
        </is>
      </c>
      <c r="F18" s="19" t="n">
        <v>2</v>
      </c>
      <c r="G18" s="19" t="n">
        <v>6</v>
      </c>
      <c r="H18" s="19" t="n">
        <v>0.25</v>
      </c>
      <c r="I18" s="19" t="n">
        <v>1</v>
      </c>
      <c r="J18" s="19" t="n">
        <v>3</v>
      </c>
      <c r="K18" s="20" t="n">
        <v>1000000</v>
      </c>
      <c r="L18" s="20" t="n">
        <v>32768</v>
      </c>
      <c r="M18" s="21" t="n">
        <v>60</v>
      </c>
      <c r="N18" s="22" t="n">
        <v>0.58</v>
      </c>
      <c r="O18" s="11" t="inlineStr">
        <is>
          <t>2026-09-02</t>
        </is>
      </c>
      <c r="P18" s="11" t="inlineStr">
        <is>
          <t>SRC-015</t>
        </is>
      </c>
    </row>
    <row r="19">
      <c r="A19" s="13" t="inlineStr">
        <is>
          <t>qwen3.8-27b</t>
        </is>
      </c>
      <c r="B19" s="13" t="inlineStr">
        <is>
          <t>alibaba</t>
        </is>
      </c>
      <c r="C19" s="13" t="inlineStr">
        <is>
          <t>qwen/qwen3.8-27b</t>
        </is>
      </c>
      <c r="D19" s="9" t="inlineStr">
        <is>
          <t>open-lab-first-party</t>
        </is>
      </c>
      <c r="E19" s="9" t="inlineStr">
        <is>
          <t>near-frontier</t>
        </is>
      </c>
      <c r="F19" s="15" t="n">
        <v>0.425</v>
      </c>
      <c r="G19" s="15" t="n">
        <v>2.55</v>
      </c>
      <c r="H19" s="15" t="n">
        <v>0.08500000000000001</v>
      </c>
      <c r="I19" s="15" t="n">
        <v>0.21</v>
      </c>
      <c r="J19" s="15" t="n">
        <v>1.28</v>
      </c>
      <c r="K19" s="16" t="n">
        <v>1000000</v>
      </c>
      <c r="L19" s="16" t="n">
        <v>16384</v>
      </c>
      <c r="M19" s="17" t="n">
        <v>95</v>
      </c>
      <c r="N19" s="18" t="n">
        <v>0.35</v>
      </c>
      <c r="O19" s="9" t="inlineStr">
        <is>
          <t>2026-08-20</t>
        </is>
      </c>
      <c r="P19" s="9" t="inlineStr">
        <is>
          <t>SRC-015</t>
        </is>
      </c>
    </row>
    <row r="20">
      <c r="A20" s="14" t="inlineStr">
        <is>
          <t>minimax-m3</t>
        </is>
      </c>
      <c r="B20" s="14" t="inlineStr">
        <is>
          <t>minimax</t>
        </is>
      </c>
      <c r="C20" s="14" t="inlineStr">
        <is>
          <t>minimax/minimax-m3</t>
        </is>
      </c>
      <c r="D20" s="11" t="inlineStr">
        <is>
          <t>open-lab-first-party</t>
        </is>
      </c>
      <c r="E20" s="11" t="inlineStr">
        <is>
          <t>mid</t>
        </is>
      </c>
      <c r="F20" s="19" t="n">
        <v>0.3</v>
      </c>
      <c r="G20" s="19" t="n">
        <v>1.2</v>
      </c>
      <c r="H20" s="19" t="n">
        <v>0.06</v>
      </c>
      <c r="I20" s="19" t="n">
        <v>0.15</v>
      </c>
      <c r="J20" s="19" t="n">
        <v>0.6</v>
      </c>
      <c r="K20" s="20" t="n">
        <v>1048576</v>
      </c>
      <c r="L20" s="20" t="n">
        <v>16384</v>
      </c>
      <c r="M20" s="21" t="n">
        <v>115</v>
      </c>
      <c r="N20" s="22" t="n">
        <v>0.32</v>
      </c>
      <c r="O20" s="11" t="inlineStr">
        <is>
          <t>2026-07-28</t>
        </is>
      </c>
      <c r="P20" s="11" t="inlineStr">
        <is>
          <t>SRC-015</t>
        </is>
      </c>
    </row>
    <row r="21">
      <c r="A21" s="13" t="inlineStr">
        <is>
          <t>grok-4.6</t>
        </is>
      </c>
      <c r="B21" s="13" t="inlineStr">
        <is>
          <t>x-ai</t>
        </is>
      </c>
      <c r="C21" s="13" t="inlineStr">
        <is>
          <t>x-ai/grok-4.6</t>
        </is>
      </c>
      <c r="D21" s="9" t="inlineStr">
        <is>
          <t>frontier-lab-first-party</t>
        </is>
      </c>
      <c r="E21" s="9" t="inlineStr">
        <is>
          <t>frontier</t>
        </is>
      </c>
      <c r="F21" s="15" t="n">
        <v>2</v>
      </c>
      <c r="G21" s="15" t="n">
        <v>6</v>
      </c>
      <c r="H21" s="15" t="n">
        <v>0.5</v>
      </c>
      <c r="I21" s="15" t="n">
        <v>1</v>
      </c>
      <c r="J21" s="15" t="n">
        <v>3</v>
      </c>
      <c r="K21" s="16" t="n">
        <v>500000</v>
      </c>
      <c r="L21" s="16" t="n">
        <v>16384</v>
      </c>
      <c r="M21" s="17" t="n">
        <v>85</v>
      </c>
      <c r="N21" s="18" t="n">
        <v>0.42</v>
      </c>
      <c r="O21" s="9" t="inlineStr">
        <is>
          <t>2026-08-05</t>
        </is>
      </c>
      <c r="P21" s="9" t="inlineStr">
        <is>
          <t>SRC-009;SRC-015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2" customWidth="1" min="4" max="4"/>
    <col width="19" customWidth="1" min="5" max="5"/>
    <col width="20" customWidth="1" min="6" max="6"/>
    <col width="12" customWidth="1" min="7" max="7"/>
    <col width="13" customWidth="1" min="8" max="8"/>
    <col width="17" customWidth="1" min="9" max="9"/>
    <col width="22" customWidth="1" min="10" max="10"/>
    <col width="15" customWidth="1" min="11" max="11"/>
    <col width="23" customWidth="1" min="12" max="12"/>
    <col width="17" customWidth="1" min="13" max="13"/>
    <col width="30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OPEN-WEIGHT MODEL ARCHITECTURE &amp; KV CACHE DATABASE</t>
        </is>
      </c>
    </row>
    <row r="2">
      <c r="A2" s="2" t="inlineStr">
        <is>
          <t>Parameter count, active parameters, attention architecture, KV cache footprint, and quantization artifacts</t>
        </is>
      </c>
    </row>
    <row r="3"/>
    <row r="4">
      <c r="A4" s="8" t="inlineStr">
        <is>
          <t>Model Key</t>
        </is>
      </c>
      <c r="B4" s="8" t="inlineStr">
        <is>
          <t>Lab</t>
        </is>
      </c>
      <c r="C4" s="8" t="inlineStr">
        <is>
          <t>Checkpoint HF ID</t>
        </is>
      </c>
      <c r="D4" s="8" t="inlineStr">
        <is>
          <t>Arch</t>
        </is>
      </c>
      <c r="E4" s="8" t="inlineStr">
        <is>
          <t>Total Params (B)</t>
        </is>
      </c>
      <c r="F4" s="8" t="inlineStr">
        <is>
          <t>Active Params (B)</t>
        </is>
      </c>
      <c r="G4" s="8" t="inlineStr">
        <is>
          <t>Layers</t>
        </is>
      </c>
      <c r="H4" s="8" t="inlineStr">
        <is>
          <t>Hidden Dim</t>
        </is>
      </c>
      <c r="I4" s="8" t="inlineStr">
        <is>
          <t>Attention Type</t>
        </is>
      </c>
      <c r="J4" s="8" t="inlineStr">
        <is>
          <t>KV Bytes/Tok (FP16)</t>
        </is>
      </c>
      <c r="K4" s="8" t="inlineStr">
        <is>
          <t>Native Dtype</t>
        </is>
      </c>
      <c r="L4" s="8" t="inlineStr">
        <is>
          <t>Official Weight (GB)</t>
        </is>
      </c>
      <c r="M4" s="8" t="inlineStr">
        <is>
          <t>Context Length</t>
        </is>
      </c>
      <c r="N4" s="8" t="inlineStr">
        <is>
          <t>License</t>
        </is>
      </c>
      <c r="O4" s="8" t="inlineStr">
        <is>
          <t>MLX</t>
        </is>
      </c>
      <c r="P4" s="8" t="inlineStr">
        <is>
          <t>vLLM</t>
        </is>
      </c>
      <c r="Q4" s="8" t="inlineStr">
        <is>
          <t>SGLang</t>
        </is>
      </c>
    </row>
    <row r="5">
      <c r="A5" s="13" t="inlineStr">
        <is>
          <t>deepseek-v4.1-flash</t>
        </is>
      </c>
      <c r="B5" s="13" t="inlineStr">
        <is>
          <t>DeepSeek AI</t>
        </is>
      </c>
      <c r="C5" s="13" t="inlineStr">
        <is>
          <t>deepseek-ai/DeepSeek-V4.1-Flash</t>
        </is>
      </c>
      <c r="D5" s="9" t="inlineStr">
        <is>
          <t>MOE</t>
        </is>
      </c>
      <c r="E5" s="17" t="n">
        <v>236</v>
      </c>
      <c r="F5" s="17" t="n">
        <v>21</v>
      </c>
      <c r="G5" s="9" t="n">
        <v>60</v>
      </c>
      <c r="H5" s="9" t="n">
        <v>5120</v>
      </c>
      <c r="I5" s="9" t="inlineStr">
        <is>
          <t>MLA</t>
        </is>
      </c>
      <c r="J5" s="16" t="n">
        <v>69120</v>
      </c>
      <c r="K5" s="9" t="inlineStr">
        <is>
          <t>FP8</t>
        </is>
      </c>
      <c r="L5" s="17" t="n">
        <v>242</v>
      </c>
      <c r="M5" s="16" t="n">
        <v>131072</v>
      </c>
      <c r="N5" s="13" t="inlineStr">
        <is>
          <t>DeepSeek Open Model License</t>
        </is>
      </c>
      <c r="O5" s="9" t="inlineStr">
        <is>
          <t>full</t>
        </is>
      </c>
      <c r="P5" s="9" t="inlineStr">
        <is>
          <t>full</t>
        </is>
      </c>
      <c r="Q5" s="9" t="inlineStr">
        <is>
          <t>full</t>
        </is>
      </c>
    </row>
    <row r="6">
      <c r="A6" s="14" t="inlineStr">
        <is>
          <t>deepseek-v4-pro</t>
        </is>
      </c>
      <c r="B6" s="14" t="inlineStr">
        <is>
          <t>DeepSeek AI</t>
        </is>
      </c>
      <c r="C6" s="14" t="inlineStr">
        <is>
          <t>deepseek-ai/DeepSeek-V4-Pro-0813</t>
        </is>
      </c>
      <c r="D6" s="11" t="inlineStr">
        <is>
          <t>MOE</t>
        </is>
      </c>
      <c r="E6" s="21" t="n">
        <v>685</v>
      </c>
      <c r="F6" s="21" t="n">
        <v>37</v>
      </c>
      <c r="G6" s="11" t="n">
        <v>64</v>
      </c>
      <c r="H6" s="11" t="n">
        <v>7168</v>
      </c>
      <c r="I6" s="11" t="inlineStr">
        <is>
          <t>MLA</t>
        </is>
      </c>
      <c r="J6" s="20" t="n">
        <v>73728</v>
      </c>
      <c r="K6" s="11" t="inlineStr">
        <is>
          <t>FP8</t>
        </is>
      </c>
      <c r="L6" s="21" t="n">
        <v>695</v>
      </c>
      <c r="M6" s="20" t="n">
        <v>262144</v>
      </c>
      <c r="N6" s="14" t="inlineStr">
        <is>
          <t>DeepSeek Open Model License</t>
        </is>
      </c>
      <c r="O6" s="11" t="inlineStr">
        <is>
          <t>full</t>
        </is>
      </c>
      <c r="P6" s="11" t="inlineStr">
        <is>
          <t>full</t>
        </is>
      </c>
      <c r="Q6" s="11" t="inlineStr">
        <is>
          <t>full</t>
        </is>
      </c>
    </row>
    <row r="7">
      <c r="A7" s="13" t="inlineStr">
        <is>
          <t>qwen3.8-27b</t>
        </is>
      </c>
      <c r="B7" s="13" t="inlineStr">
        <is>
          <t>Alibaba Cloud</t>
        </is>
      </c>
      <c r="C7" s="13" t="inlineStr">
        <is>
          <t>Qwen/Qwen3.8-27B</t>
        </is>
      </c>
      <c r="D7" s="9" t="inlineStr">
        <is>
          <t>DENSE</t>
        </is>
      </c>
      <c r="E7" s="17" t="n">
        <v>27.2</v>
      </c>
      <c r="F7" s="17" t="n">
        <v>27.2</v>
      </c>
      <c r="G7" s="9" t="n">
        <v>64</v>
      </c>
      <c r="H7" s="9" t="n">
        <v>5120</v>
      </c>
      <c r="I7" s="9" t="inlineStr">
        <is>
          <t>GQA</t>
        </is>
      </c>
      <c r="J7" s="16" t="n">
        <v>262144</v>
      </c>
      <c r="K7" s="9" t="inlineStr">
        <is>
          <t>BF16</t>
        </is>
      </c>
      <c r="L7" s="17" t="n">
        <v>54.4</v>
      </c>
      <c r="M7" s="16" t="n">
        <v>131072</v>
      </c>
      <c r="N7" s="13" t="inlineStr">
        <is>
          <t>Apache-2.0</t>
        </is>
      </c>
      <c r="O7" s="9" t="inlineStr">
        <is>
          <t>full</t>
        </is>
      </c>
      <c r="P7" s="9" t="inlineStr">
        <is>
          <t>full</t>
        </is>
      </c>
      <c r="Q7" s="9" t="inlineStr">
        <is>
          <t>full</t>
        </is>
      </c>
    </row>
    <row r="8">
      <c r="A8" s="14" t="inlineStr">
        <is>
          <t>qwen3.6-35b-a3b</t>
        </is>
      </c>
      <c r="B8" s="14" t="inlineStr">
        <is>
          <t>Alibaba Cloud</t>
        </is>
      </c>
      <c r="C8" s="14" t="inlineStr">
        <is>
          <t>Qwen/Qwen3.6-35B-A3B</t>
        </is>
      </c>
      <c r="D8" s="11" t="inlineStr">
        <is>
          <t>MOE</t>
        </is>
      </c>
      <c r="E8" s="21" t="n">
        <v>35</v>
      </c>
      <c r="F8" s="21" t="n">
        <v>3.2</v>
      </c>
      <c r="G8" s="11" t="n">
        <v>48</v>
      </c>
      <c r="H8" s="11" t="n">
        <v>3584</v>
      </c>
      <c r="I8" s="11" t="inlineStr">
        <is>
          <t>GQA</t>
        </is>
      </c>
      <c r="J8" s="20" t="n">
        <v>98304</v>
      </c>
      <c r="K8" s="11" t="inlineStr">
        <is>
          <t>BF16</t>
        </is>
      </c>
      <c r="L8" s="21" t="n">
        <v>70</v>
      </c>
      <c r="M8" s="20" t="n">
        <v>131072</v>
      </c>
      <c r="N8" s="14" t="inlineStr">
        <is>
          <t>Apache-2.0</t>
        </is>
      </c>
      <c r="O8" s="11" t="inlineStr">
        <is>
          <t>full</t>
        </is>
      </c>
      <c r="P8" s="11" t="inlineStr">
        <is>
          <t>full</t>
        </is>
      </c>
      <c r="Q8" s="11" t="inlineStr">
        <is>
          <t>full</t>
        </is>
      </c>
    </row>
    <row r="9">
      <c r="A9" s="13" t="inlineStr">
        <is>
          <t>qwen3.5-397b-a17b</t>
        </is>
      </c>
      <c r="B9" s="13" t="inlineStr">
        <is>
          <t>Alibaba Cloud</t>
        </is>
      </c>
      <c r="C9" s="13" t="inlineStr">
        <is>
          <t>Qwen/Qwen3.5-397B-A17B</t>
        </is>
      </c>
      <c r="D9" s="9" t="inlineStr">
        <is>
          <t>MOE</t>
        </is>
      </c>
      <c r="E9" s="17" t="n">
        <v>397</v>
      </c>
      <c r="F9" s="17" t="n">
        <v>17.5</v>
      </c>
      <c r="G9" s="9" t="n">
        <v>64</v>
      </c>
      <c r="H9" s="9" t="n">
        <v>6144</v>
      </c>
      <c r="I9" s="9" t="inlineStr">
        <is>
          <t>GQA</t>
        </is>
      </c>
      <c r="J9" s="16" t="n">
        <v>262144</v>
      </c>
      <c r="K9" s="9" t="inlineStr">
        <is>
          <t>BF16</t>
        </is>
      </c>
      <c r="L9" s="17" t="n">
        <v>397</v>
      </c>
      <c r="M9" s="16" t="n">
        <v>262144</v>
      </c>
      <c r="N9" s="13" t="inlineStr">
        <is>
          <t>Qwen Open Model License</t>
        </is>
      </c>
      <c r="O9" s="9" t="inlineStr">
        <is>
          <t>full</t>
        </is>
      </c>
      <c r="P9" s="9" t="inlineStr">
        <is>
          <t>full</t>
        </is>
      </c>
      <c r="Q9" s="9" t="inlineStr">
        <is>
          <t>full</t>
        </is>
      </c>
    </row>
    <row r="10">
      <c r="A10" s="14" t="inlineStr">
        <is>
          <t>llama-3.3-70b</t>
        </is>
      </c>
      <c r="B10" s="14" t="inlineStr">
        <is>
          <t>Meta AI</t>
        </is>
      </c>
      <c r="C10" s="14" t="inlineStr">
        <is>
          <t>meta-llama/Llama-3.3-70B-Instruct</t>
        </is>
      </c>
      <c r="D10" s="11" t="inlineStr">
        <is>
          <t>DENSE</t>
        </is>
      </c>
      <c r="E10" s="21" t="n">
        <v>70.59999999999999</v>
      </c>
      <c r="F10" s="21" t="n">
        <v>70.59999999999999</v>
      </c>
      <c r="G10" s="11" t="n">
        <v>80</v>
      </c>
      <c r="H10" s="11" t="n">
        <v>8192</v>
      </c>
      <c r="I10" s="11" t="inlineStr">
        <is>
          <t>GQA</t>
        </is>
      </c>
      <c r="J10" s="20" t="n">
        <v>327680</v>
      </c>
      <c r="K10" s="11" t="inlineStr">
        <is>
          <t>BF16</t>
        </is>
      </c>
      <c r="L10" s="21" t="n">
        <v>141.2</v>
      </c>
      <c r="M10" s="20" t="n">
        <v>131072</v>
      </c>
      <c r="N10" s="14" t="inlineStr">
        <is>
          <t>Llama 3.3 Community License</t>
        </is>
      </c>
      <c r="O10" s="11" t="inlineStr">
        <is>
          <t>full</t>
        </is>
      </c>
      <c r="P10" s="11" t="inlineStr">
        <is>
          <t>full</t>
        </is>
      </c>
      <c r="Q10" s="11" t="inlineStr">
        <is>
          <t>full</t>
        </is>
      </c>
    </row>
    <row r="11">
      <c r="A11" s="13" t="inlineStr">
        <is>
          <t>gemma-4-26b-a4b</t>
        </is>
      </c>
      <c r="B11" s="13" t="inlineStr">
        <is>
          <t>Google DeepMind</t>
        </is>
      </c>
      <c r="C11" s="13" t="inlineStr">
        <is>
          <t>google/gemma-4-26B-A4B-it</t>
        </is>
      </c>
      <c r="D11" s="9" t="inlineStr">
        <is>
          <t>MOE</t>
        </is>
      </c>
      <c r="E11" s="17" t="n">
        <v>26</v>
      </c>
      <c r="F11" s="17" t="n">
        <v>4.1</v>
      </c>
      <c r="G11" s="9" t="n">
        <v>40</v>
      </c>
      <c r="H11" s="9" t="n">
        <v>4096</v>
      </c>
      <c r="I11" s="9" t="inlineStr">
        <is>
          <t>GQA</t>
        </is>
      </c>
      <c r="J11" s="16" t="n">
        <v>81920</v>
      </c>
      <c r="K11" s="9" t="inlineStr">
        <is>
          <t>BF16</t>
        </is>
      </c>
      <c r="L11" s="17" t="n">
        <v>52</v>
      </c>
      <c r="M11" s="16" t="n">
        <v>131072</v>
      </c>
      <c r="N11" s="13" t="inlineStr">
        <is>
          <t>Gemma Terms of Use</t>
        </is>
      </c>
      <c r="O11" s="9" t="inlineStr">
        <is>
          <t>full</t>
        </is>
      </c>
      <c r="P11" s="9" t="inlineStr">
        <is>
          <t>full</t>
        </is>
      </c>
      <c r="Q11" s="9" t="inlineStr">
        <is>
          <t>full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6" customWidth="1" min="4" max="4"/>
    <col width="30" customWidth="1" min="5" max="5"/>
    <col width="19" customWidth="1" min="6" max="6"/>
    <col width="50" customWidth="1" min="7" max="7"/>
    <col width="22" customWidth="1" min="8" max="8"/>
    <col width="17" customWidth="1" min="9" max="9"/>
    <col width="19" customWidth="1" min="10" max="10"/>
    <col width="43" customWidth="1" min="11" max="11"/>
    <col width="15" customWidth="1" min="12" max="12"/>
  </cols>
  <sheetData>
    <row r="1">
      <c r="A1" s="1" t="inlineStr">
        <is>
          <t>HARDWARE PLATFORM SPECIFICATIONS &amp; CAPITAL COSTS</t>
        </is>
      </c>
    </row>
    <row r="2">
      <c r="A2" s="2" t="inlineStr">
        <is>
          <t>Apple Silicon, NVIDIA DGX Spark, Workstations, and Clustered Interconnects</t>
        </is>
      </c>
    </row>
    <row r="3"/>
    <row r="4">
      <c r="A4" s="8" t="inlineStr">
        <is>
          <t>Hardware Key</t>
        </is>
      </c>
      <c r="B4" s="8" t="inlineStr">
        <is>
          <t>Vendor</t>
        </is>
      </c>
      <c r="C4" s="8" t="inlineStr">
        <is>
          <t>Product Name</t>
        </is>
      </c>
      <c r="D4" s="8" t="inlineStr">
        <is>
          <t>RAM/VRAM (GB)</t>
        </is>
      </c>
      <c r="E4" s="8" t="inlineStr">
        <is>
          <t>Memory Type</t>
        </is>
      </c>
      <c r="F4" s="8" t="inlineStr">
        <is>
          <t>Bandwidth (GB/s)</t>
        </is>
      </c>
      <c r="G4" s="8" t="inlineStr">
        <is>
          <t>Interconnect</t>
        </is>
      </c>
      <c r="H4" s="8" t="inlineStr">
        <is>
          <t>Inference Power (W)</t>
        </is>
      </c>
      <c r="I4" s="8" t="inlineStr">
        <is>
          <t>Idle Power (W)</t>
        </is>
      </c>
      <c r="J4" s="8" t="inlineStr">
        <is>
          <t>Retail Price ($)</t>
        </is>
      </c>
      <c r="K4" s="8" t="inlineStr">
        <is>
          <t>Form Factor</t>
        </is>
      </c>
      <c r="L4" s="8" t="inlineStr">
        <is>
          <t>Availability</t>
        </is>
      </c>
    </row>
    <row r="5">
      <c r="A5" s="13" t="inlineStr">
        <is>
          <t>mac-studio-m5-max-128</t>
        </is>
      </c>
      <c r="B5" s="13" t="inlineStr">
        <is>
          <t>Apple</t>
        </is>
      </c>
      <c r="C5" s="13" t="inlineStr">
        <is>
          <t>Mac Studio M5 Max</t>
        </is>
      </c>
      <c r="D5" s="16" t="n">
        <v>128</v>
      </c>
      <c r="E5" s="13" t="inlineStr">
        <is>
          <t>Unified LPDDR5x</t>
        </is>
      </c>
      <c r="F5" s="23" t="n">
        <v>614</v>
      </c>
      <c r="G5" s="13" t="inlineStr">
        <is>
          <t>Thunderbolt 5 (80-120 Gbps)</t>
        </is>
      </c>
      <c r="H5" s="17" t="n">
        <v>95</v>
      </c>
      <c r="I5" s="17" t="n">
        <v>12</v>
      </c>
      <c r="J5" s="15" t="n">
        <v>3499</v>
      </c>
      <c r="K5" s="13" t="inlineStr">
        <is>
          <t>Desktop Mini (19.7 x 19.7 x 9.5 cm)</t>
        </is>
      </c>
      <c r="L5" s="9" t="inlineStr">
        <is>
          <t>available</t>
        </is>
      </c>
    </row>
    <row r="6">
      <c r="A6" s="14" t="inlineStr">
        <is>
          <t>mac-studio-m5-ultra-256</t>
        </is>
      </c>
      <c r="B6" s="14" t="inlineStr">
        <is>
          <t>Apple</t>
        </is>
      </c>
      <c r="C6" s="14" t="inlineStr">
        <is>
          <t>Mac Studio M5 Ultra</t>
        </is>
      </c>
      <c r="D6" s="20" t="n">
        <v>256</v>
      </c>
      <c r="E6" s="14" t="inlineStr">
        <is>
          <t>Unified LPDDR5x</t>
        </is>
      </c>
      <c r="F6" s="24" t="n">
        <v>1200</v>
      </c>
      <c r="G6" s="14" t="inlineStr">
        <is>
          <t>Thunderbolt 5 (80-120 Gbps RDMA)</t>
        </is>
      </c>
      <c r="H6" s="21" t="n">
        <v>180</v>
      </c>
      <c r="I6" s="21" t="n">
        <v>18</v>
      </c>
      <c r="J6" s="19" t="n">
        <v>5499</v>
      </c>
      <c r="K6" s="14" t="inlineStr">
        <is>
          <t>Desktop Mini (19.7 x 19.7 x 9.5 cm)</t>
        </is>
      </c>
      <c r="L6" s="11" t="inlineStr">
        <is>
          <t>available</t>
        </is>
      </c>
    </row>
    <row r="7">
      <c r="A7" s="13" t="inlineStr">
        <is>
          <t>mac-studio-m5-ultra-512</t>
        </is>
      </c>
      <c r="B7" s="13" t="inlineStr">
        <is>
          <t>Apple</t>
        </is>
      </c>
      <c r="C7" s="13" t="inlineStr">
        <is>
          <t>Mac Studio M5 Ultra (512GB)</t>
        </is>
      </c>
      <c r="D7" s="16" t="n">
        <v>512</v>
      </c>
      <c r="E7" s="13" t="inlineStr">
        <is>
          <t>Unified LPDDR5x</t>
        </is>
      </c>
      <c r="F7" s="23" t="n">
        <v>1200</v>
      </c>
      <c r="G7" s="13" t="inlineStr">
        <is>
          <t>Thunderbolt 5 (80-120 Gbps RDMA)</t>
        </is>
      </c>
      <c r="H7" s="17" t="n">
        <v>205</v>
      </c>
      <c r="I7" s="17" t="n">
        <v>22</v>
      </c>
      <c r="J7" s="15" t="n">
        <v>8999</v>
      </c>
      <c r="K7" s="13" t="inlineStr">
        <is>
          <t>Desktop Mini</t>
        </is>
      </c>
      <c r="L7" s="9" t="inlineStr">
        <is>
          <t>announced</t>
        </is>
      </c>
    </row>
    <row r="8">
      <c r="A8" s="14" t="inlineStr">
        <is>
          <t>dgx-spark-128</t>
        </is>
      </c>
      <c r="B8" s="14" t="inlineStr">
        <is>
          <t>NVIDIA</t>
        </is>
      </c>
      <c r="C8" s="14" t="inlineStr">
        <is>
          <t>NVIDIA DGX Spark</t>
        </is>
      </c>
      <c r="D8" s="20" t="n">
        <v>128</v>
      </c>
      <c r="E8" s="14" t="inlineStr">
        <is>
          <t>Coherent Unified LPDDR5x</t>
        </is>
      </c>
      <c r="F8" s="24" t="n">
        <v>273</v>
      </c>
      <c r="G8" s="14" t="inlineStr">
        <is>
          <t>ConnectX-7 dual-port 200 Gb/s RoCE</t>
        </is>
      </c>
      <c r="H8" s="21" t="n">
        <v>120</v>
      </c>
      <c r="I8" s="21" t="n">
        <v>25</v>
      </c>
      <c r="J8" s="19" t="n">
        <v>6950</v>
      </c>
      <c r="K8" s="14" t="inlineStr">
        <is>
          <t>Desktop Compact (15 x 15 x 5 cm, 1.2 kg)</t>
        </is>
      </c>
      <c r="L8" s="11" t="inlineStr">
        <is>
          <t>available</t>
        </is>
      </c>
    </row>
    <row r="9">
      <c r="A9" s="13" t="inlineStr">
        <is>
          <t>dgx-spark-x2-cluster</t>
        </is>
      </c>
      <c r="B9" s="13" t="inlineStr">
        <is>
          <t>NVIDIA</t>
        </is>
      </c>
      <c r="C9" s="13" t="inlineStr">
        <is>
          <t>Dual DGX Spark Cluster</t>
        </is>
      </c>
      <c r="D9" s="16" t="n">
        <v>256</v>
      </c>
      <c r="E9" s="13" t="inlineStr">
        <is>
          <t>Distributed Unified LPDDR5x</t>
        </is>
      </c>
      <c r="F9" s="23" t="n">
        <v>546</v>
      </c>
      <c r="G9" s="13" t="inlineStr">
        <is>
          <t>ConnectX-7 200 Gb/s Direct RoCE (point-to-point DAC)</t>
        </is>
      </c>
      <c r="H9" s="17" t="n">
        <v>240</v>
      </c>
      <c r="I9" s="17" t="n">
        <v>50</v>
      </c>
      <c r="J9" s="15" t="n">
        <v>14050</v>
      </c>
      <c r="K9" s="13" t="inlineStr">
        <is>
          <t>Dual Desktop Stack</t>
        </is>
      </c>
      <c r="L9" s="9" t="inlineStr">
        <is>
          <t>available</t>
        </is>
      </c>
    </row>
    <row r="10">
      <c r="A10" s="14" t="inlineStr">
        <is>
          <t>mac-studio-ultra-x2-cluster</t>
        </is>
      </c>
      <c r="B10" s="14" t="inlineStr">
        <is>
          <t>Apple / Exo</t>
        </is>
      </c>
      <c r="C10" s="14" t="inlineStr">
        <is>
          <t>Dual Mac Studio M5 Ultra Cluster</t>
        </is>
      </c>
      <c r="D10" s="20" t="n">
        <v>512</v>
      </c>
      <c r="E10" s="14" t="inlineStr">
        <is>
          <t>Unified LPDDR5x Cluster</t>
        </is>
      </c>
      <c r="F10" s="24" t="n">
        <v>2400</v>
      </c>
      <c r="G10" s="14" t="inlineStr">
        <is>
          <t>Thunderbolt 5 RDMA (&lt;50µs latency)</t>
        </is>
      </c>
      <c r="H10" s="21" t="n">
        <v>360</v>
      </c>
      <c r="I10" s="21" t="n">
        <v>36</v>
      </c>
      <c r="J10" s="19" t="n">
        <v>11098</v>
      </c>
      <c r="K10" s="14" t="inlineStr">
        <is>
          <t>Dual Desktop Stack</t>
        </is>
      </c>
      <c r="L10" s="11" t="inlineStr">
        <is>
          <t>available</t>
        </is>
      </c>
    </row>
    <row r="11">
      <c r="A11" s="13" t="inlineStr">
        <is>
          <t>rtx-pro-6000-x4-server</t>
        </is>
      </c>
      <c r="B11" s="13" t="inlineStr">
        <is>
          <t>NVIDIA / OEM</t>
        </is>
      </c>
      <c r="C11" s="13" t="inlineStr">
        <is>
          <t>4x RTX PRO 6000 Blackwell Server</t>
        </is>
      </c>
      <c r="D11" s="16" t="n">
        <v>384</v>
      </c>
      <c r="E11" s="13" t="inlineStr">
        <is>
          <t>GDDR7 VRAM</t>
        </is>
      </c>
      <c r="F11" s="23" t="n">
        <v>7200</v>
      </c>
      <c r="G11" s="13" t="inlineStr">
        <is>
          <t>PCIe Gen5 x16 + Dual 100GbE NICs</t>
        </is>
      </c>
      <c r="H11" s="17" t="n">
        <v>1350</v>
      </c>
      <c r="I11" s="17" t="n">
        <v>180</v>
      </c>
      <c r="J11" s="15" t="n">
        <v>32200</v>
      </c>
      <c r="K11" s="13" t="inlineStr">
        <is>
          <t>4U Rackmount Server</t>
        </is>
      </c>
      <c r="L11" s="9" t="inlineStr">
        <is>
          <t>available</t>
        </is>
      </c>
    </row>
    <row r="12">
      <c r="A12" s="14" t="inlineStr">
        <is>
          <t>hgx-h200-x8</t>
        </is>
      </c>
      <c r="B12" s="14" t="inlineStr">
        <is>
          <t>NVIDIA</t>
        </is>
      </c>
      <c r="C12" s="14" t="inlineStr">
        <is>
          <t>HGX H200 8-GPU Server</t>
        </is>
      </c>
      <c r="D12" s="20" t="n">
        <v>1128</v>
      </c>
      <c r="E12" s="14" t="inlineStr">
        <is>
          <t>HBM3e</t>
        </is>
      </c>
      <c r="F12" s="24" t="n">
        <v>38400</v>
      </c>
      <c r="G12" s="14" t="inlineStr">
        <is>
          <t>NVLink 4 (900 GB/s per GPU full mesh)</t>
        </is>
      </c>
      <c r="H12" s="21" t="n">
        <v>7800</v>
      </c>
      <c r="I12" s="21" t="n">
        <v>1200</v>
      </c>
      <c r="J12" s="19" t="n">
        <v>295000</v>
      </c>
      <c r="K12" s="14" t="inlineStr">
        <is>
          <t>8U Chassis in 42U Datacenter Rack</t>
        </is>
      </c>
      <c r="L12" s="11" t="inlineStr">
        <is>
          <t>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9" customWidth="1" min="4" max="4"/>
    <col width="12" customWidth="1" min="5" max="5"/>
    <col width="14" customWidth="1" min="6" max="6"/>
    <col width="12" customWidth="1" min="7" max="7"/>
    <col width="24" customWidth="1" min="8" max="8"/>
    <col width="16" customWidth="1" min="9" max="9"/>
    <col width="20" customWidth="1" min="10" max="10"/>
  </cols>
  <sheetData>
    <row r="1">
      <c r="A1" s="1" t="inlineStr">
        <is>
          <t>MODEL-TO-HARDWARE MEMORY FIT MATRIX</t>
        </is>
      </c>
    </row>
    <row r="2">
      <c r="A2" s="2" t="inlineStr">
        <is>
          <t>Three operating regimes: Minimum Viable (8k), Interactive Agent (32k), and High-Throughput Concurrent (64k b=4)</t>
        </is>
      </c>
    </row>
    <row r="3"/>
    <row r="4">
      <c r="A4" s="8" t="inlineStr">
        <is>
          <t>Model Key</t>
        </is>
      </c>
      <c r="B4" s="8" t="inlineStr">
        <is>
          <t>Hardware Product</t>
        </is>
      </c>
      <c r="C4" s="8" t="inlineStr">
        <is>
          <t>Memory (GB)</t>
        </is>
      </c>
      <c r="D4" s="8" t="inlineStr">
        <is>
          <t>Operating Regime</t>
        </is>
      </c>
      <c r="E4" s="8" t="inlineStr">
        <is>
          <t>Context</t>
        </is>
      </c>
      <c r="F4" s="8" t="inlineStr">
        <is>
          <t>Concurrency</t>
        </is>
      </c>
      <c r="G4" s="8" t="inlineStr">
        <is>
          <t>Fits?</t>
        </is>
      </c>
      <c r="H4" s="8" t="inlineStr">
        <is>
          <t>Quantization Selected</t>
        </is>
      </c>
      <c r="I4" s="8" t="inlineStr">
        <is>
          <t>Headroom (GB)</t>
        </is>
      </c>
      <c r="J4" s="8" t="inlineStr">
        <is>
          <t>Runtime Support</t>
        </is>
      </c>
    </row>
    <row r="5">
      <c r="A5" s="4" t="inlineStr">
        <is>
          <t>deepseek-v4.1-flash</t>
        </is>
      </c>
      <c r="B5" s="4" t="inlineStr">
        <is>
          <t>Mac Studio M5 Max</t>
        </is>
      </c>
      <c r="C5" s="25" t="n">
        <v>128</v>
      </c>
      <c r="D5" s="26" t="inlineStr">
        <is>
          <t>Minimum Viable</t>
        </is>
      </c>
      <c r="E5" s="25" t="n">
        <v>8192</v>
      </c>
      <c r="F5" s="26" t="n">
        <v>1</v>
      </c>
      <c r="G5" s="27" t="inlineStr">
        <is>
          <t>Yes</t>
        </is>
      </c>
      <c r="H5" s="26" t="inlineStr">
        <is>
          <t>UD-Q3_K_XL</t>
        </is>
      </c>
      <c r="I5" s="28" t="n">
        <v>21.5</v>
      </c>
      <c r="J5" s="26" t="inlineStr">
        <is>
          <t>Supported</t>
        </is>
      </c>
    </row>
    <row r="6">
      <c r="A6" s="29" t="inlineStr">
        <is>
          <t>deepseek-v4.1-flash</t>
        </is>
      </c>
      <c r="B6" s="29" t="inlineStr">
        <is>
          <t>Mac Studio M5 Max</t>
        </is>
      </c>
      <c r="C6" s="30" t="n">
        <v>128</v>
      </c>
      <c r="D6" s="31" t="inlineStr">
        <is>
          <t>Interactive</t>
        </is>
      </c>
      <c r="E6" s="30" t="n">
        <v>32768</v>
      </c>
      <c r="F6" s="31" t="n">
        <v>1</v>
      </c>
      <c r="G6" s="32" t="inlineStr">
        <is>
          <t>Yes</t>
        </is>
      </c>
      <c r="H6" s="31" t="inlineStr">
        <is>
          <t>UD-Q3_K_XL</t>
        </is>
      </c>
      <c r="I6" s="33" t="n">
        <v>18.7</v>
      </c>
      <c r="J6" s="31" t="inlineStr">
        <is>
          <t>Supported</t>
        </is>
      </c>
    </row>
    <row r="7">
      <c r="A7" s="4" t="inlineStr">
        <is>
          <t>deepseek-v4.1-flash</t>
        </is>
      </c>
      <c r="B7" s="4" t="inlineStr">
        <is>
          <t>Mac Studio M5 Max</t>
        </is>
      </c>
      <c r="C7" s="25" t="n">
        <v>128</v>
      </c>
      <c r="D7" s="26" t="inlineStr">
        <is>
          <t>High Throughput</t>
        </is>
      </c>
      <c r="E7" s="25" t="n">
        <v>65536</v>
      </c>
      <c r="F7" s="26" t="n">
        <v>4</v>
      </c>
      <c r="G7" s="27" t="inlineStr">
        <is>
          <t>Yes</t>
        </is>
      </c>
      <c r="H7" s="26" t="inlineStr">
        <is>
          <t>UD-Q3_K_XL</t>
        </is>
      </c>
      <c r="I7" s="28" t="n">
        <v>9.300000000000001</v>
      </c>
      <c r="J7" s="26" t="inlineStr">
        <is>
          <t>Supported</t>
        </is>
      </c>
    </row>
    <row r="8">
      <c r="A8" s="29" t="inlineStr">
        <is>
          <t>deepseek-v4.1-flash</t>
        </is>
      </c>
      <c r="B8" s="29" t="inlineStr">
        <is>
          <t>Mac Studio M5 Ultra</t>
        </is>
      </c>
      <c r="C8" s="30" t="n">
        <v>256</v>
      </c>
      <c r="D8" s="31" t="inlineStr">
        <is>
          <t>Minimum Viable</t>
        </is>
      </c>
      <c r="E8" s="30" t="n">
        <v>8192</v>
      </c>
      <c r="F8" s="31" t="n">
        <v>1</v>
      </c>
      <c r="G8" s="32" t="inlineStr">
        <is>
          <t>Yes</t>
        </is>
      </c>
      <c r="H8" s="31" t="inlineStr">
        <is>
          <t>FP8</t>
        </is>
      </c>
      <c r="I8" s="33" t="n">
        <v>3.9</v>
      </c>
      <c r="J8" s="31" t="inlineStr">
        <is>
          <t>Supported</t>
        </is>
      </c>
    </row>
    <row r="9">
      <c r="A9" s="4" t="inlineStr">
        <is>
          <t>deepseek-v4.1-flash</t>
        </is>
      </c>
      <c r="B9" s="4" t="inlineStr">
        <is>
          <t>Mac Studio M5 Ultra</t>
        </is>
      </c>
      <c r="C9" s="25" t="n">
        <v>256</v>
      </c>
      <c r="D9" s="26" t="inlineStr">
        <is>
          <t>Interactive</t>
        </is>
      </c>
      <c r="E9" s="25" t="n">
        <v>32768</v>
      </c>
      <c r="F9" s="26" t="n">
        <v>1</v>
      </c>
      <c r="G9" s="27" t="inlineStr">
        <is>
          <t>Yes</t>
        </is>
      </c>
      <c r="H9" s="26" t="inlineStr">
        <is>
          <t>FP8</t>
        </is>
      </c>
      <c r="I9" s="28" t="n">
        <v>1.1</v>
      </c>
      <c r="J9" s="26" t="inlineStr">
        <is>
          <t>Supported</t>
        </is>
      </c>
    </row>
    <row r="10">
      <c r="A10" s="29" t="inlineStr">
        <is>
          <t>deepseek-v4.1-flash</t>
        </is>
      </c>
      <c r="B10" s="29" t="inlineStr">
        <is>
          <t>Mac Studio M5 Ultra</t>
        </is>
      </c>
      <c r="C10" s="30" t="n">
        <v>256</v>
      </c>
      <c r="D10" s="31" t="inlineStr">
        <is>
          <t>High Throughput</t>
        </is>
      </c>
      <c r="E10" s="30" t="n">
        <v>65536</v>
      </c>
      <c r="F10" s="31" t="n">
        <v>4</v>
      </c>
      <c r="G10" s="32" t="inlineStr">
        <is>
          <t>Yes</t>
        </is>
      </c>
      <c r="H10" s="31" t="inlineStr">
        <is>
          <t>Q4_K_M</t>
        </is>
      </c>
      <c r="I10" s="33" t="n">
        <v>100.2</v>
      </c>
      <c r="J10" s="31" t="inlineStr">
        <is>
          <t>Supported</t>
        </is>
      </c>
    </row>
    <row r="11">
      <c r="A11" s="4" t="inlineStr">
        <is>
          <t>deepseek-v4.1-flash</t>
        </is>
      </c>
      <c r="B11" s="4" t="inlineStr">
        <is>
          <t>Mac Studio M5 Ultra (512GB)</t>
        </is>
      </c>
      <c r="C11" s="25" t="n">
        <v>512</v>
      </c>
      <c r="D11" s="26" t="inlineStr">
        <is>
          <t>Minimum Viable</t>
        </is>
      </c>
      <c r="E11" s="25" t="n">
        <v>8192</v>
      </c>
      <c r="F11" s="26" t="n">
        <v>1</v>
      </c>
      <c r="G11" s="27" t="inlineStr">
        <is>
          <t>Yes</t>
        </is>
      </c>
      <c r="H11" s="26" t="inlineStr">
        <is>
          <t>FP8</t>
        </is>
      </c>
      <c r="I11" s="28" t="n">
        <v>259.9</v>
      </c>
      <c r="J11" s="26" t="inlineStr">
        <is>
          <t>Supported</t>
        </is>
      </c>
    </row>
    <row r="12">
      <c r="A12" s="29" t="inlineStr">
        <is>
          <t>deepseek-v4.1-flash</t>
        </is>
      </c>
      <c r="B12" s="29" t="inlineStr">
        <is>
          <t>Mac Studio M5 Ultra (512GB)</t>
        </is>
      </c>
      <c r="C12" s="30" t="n">
        <v>512</v>
      </c>
      <c r="D12" s="31" t="inlineStr">
        <is>
          <t>Interactive</t>
        </is>
      </c>
      <c r="E12" s="30" t="n">
        <v>32768</v>
      </c>
      <c r="F12" s="31" t="n">
        <v>1</v>
      </c>
      <c r="G12" s="32" t="inlineStr">
        <is>
          <t>Yes</t>
        </is>
      </c>
      <c r="H12" s="31" t="inlineStr">
        <is>
          <t>FP8</t>
        </is>
      </c>
      <c r="I12" s="33" t="n">
        <v>257.1</v>
      </c>
      <c r="J12" s="31" t="inlineStr">
        <is>
          <t>Supported</t>
        </is>
      </c>
    </row>
    <row r="13">
      <c r="A13" s="4" t="inlineStr">
        <is>
          <t>deepseek-v4.1-flash</t>
        </is>
      </c>
      <c r="B13" s="4" t="inlineStr">
        <is>
          <t>Mac Studio M5 Ultra (512GB)</t>
        </is>
      </c>
      <c r="C13" s="25" t="n">
        <v>512</v>
      </c>
      <c r="D13" s="26" t="inlineStr">
        <is>
          <t>High Throughput</t>
        </is>
      </c>
      <c r="E13" s="25" t="n">
        <v>65536</v>
      </c>
      <c r="F13" s="26" t="n">
        <v>4</v>
      </c>
      <c r="G13" s="27" t="inlineStr">
        <is>
          <t>Yes</t>
        </is>
      </c>
      <c r="H13" s="26" t="inlineStr">
        <is>
          <t>FP8</t>
        </is>
      </c>
      <c r="I13" s="28" t="n">
        <v>247.8</v>
      </c>
      <c r="J13" s="26" t="inlineStr">
        <is>
          <t>Supported</t>
        </is>
      </c>
    </row>
    <row r="14">
      <c r="A14" s="29" t="inlineStr">
        <is>
          <t>deepseek-v4.1-flash</t>
        </is>
      </c>
      <c r="B14" s="29" t="inlineStr">
        <is>
          <t>NVIDIA DGX Spark</t>
        </is>
      </c>
      <c r="C14" s="30" t="n">
        <v>128</v>
      </c>
      <c r="D14" s="31" t="inlineStr">
        <is>
          <t>Minimum Viable</t>
        </is>
      </c>
      <c r="E14" s="30" t="n">
        <v>8192</v>
      </c>
      <c r="F14" s="31" t="n">
        <v>1</v>
      </c>
      <c r="G14" s="32" t="inlineStr">
        <is>
          <t>Yes</t>
        </is>
      </c>
      <c r="H14" s="31" t="inlineStr">
        <is>
          <t>UD-Q3_K_XL</t>
        </is>
      </c>
      <c r="I14" s="33" t="n">
        <v>21.5</v>
      </c>
      <c r="J14" s="31" t="inlineStr">
        <is>
          <t>Supported</t>
        </is>
      </c>
    </row>
    <row r="15">
      <c r="A15" s="4" t="inlineStr">
        <is>
          <t>deepseek-v4.1-flash</t>
        </is>
      </c>
      <c r="B15" s="4" t="inlineStr">
        <is>
          <t>NVIDIA DGX Spark</t>
        </is>
      </c>
      <c r="C15" s="25" t="n">
        <v>128</v>
      </c>
      <c r="D15" s="26" t="inlineStr">
        <is>
          <t>Interactive</t>
        </is>
      </c>
      <c r="E15" s="25" t="n">
        <v>32768</v>
      </c>
      <c r="F15" s="26" t="n">
        <v>1</v>
      </c>
      <c r="G15" s="27" t="inlineStr">
        <is>
          <t>Yes</t>
        </is>
      </c>
      <c r="H15" s="26" t="inlineStr">
        <is>
          <t>UD-Q3_K_XL</t>
        </is>
      </c>
      <c r="I15" s="28" t="n">
        <v>18.7</v>
      </c>
      <c r="J15" s="26" t="inlineStr">
        <is>
          <t>Supported</t>
        </is>
      </c>
    </row>
    <row r="16">
      <c r="A16" s="29" t="inlineStr">
        <is>
          <t>deepseek-v4.1-flash</t>
        </is>
      </c>
      <c r="B16" s="29" t="inlineStr">
        <is>
          <t>NVIDIA DGX Spark</t>
        </is>
      </c>
      <c r="C16" s="30" t="n">
        <v>128</v>
      </c>
      <c r="D16" s="31" t="inlineStr">
        <is>
          <t>High Throughput</t>
        </is>
      </c>
      <c r="E16" s="30" t="n">
        <v>65536</v>
      </c>
      <c r="F16" s="31" t="n">
        <v>4</v>
      </c>
      <c r="G16" s="32" t="inlineStr">
        <is>
          <t>Yes</t>
        </is>
      </c>
      <c r="H16" s="31" t="inlineStr">
        <is>
          <t>UD-Q3_K_XL</t>
        </is>
      </c>
      <c r="I16" s="33" t="n">
        <v>9.300000000000001</v>
      </c>
      <c r="J16" s="31" t="inlineStr">
        <is>
          <t>Supported</t>
        </is>
      </c>
    </row>
    <row r="17">
      <c r="A17" s="4" t="inlineStr">
        <is>
          <t>deepseek-v4.1-flash</t>
        </is>
      </c>
      <c r="B17" s="4" t="inlineStr">
        <is>
          <t>Dual DGX Spark Cluster</t>
        </is>
      </c>
      <c r="C17" s="25" t="n">
        <v>256</v>
      </c>
      <c r="D17" s="26" t="inlineStr">
        <is>
          <t>Minimum Viable</t>
        </is>
      </c>
      <c r="E17" s="25" t="n">
        <v>8192</v>
      </c>
      <c r="F17" s="26" t="n">
        <v>1</v>
      </c>
      <c r="G17" s="27" t="inlineStr">
        <is>
          <t>Yes</t>
        </is>
      </c>
      <c r="H17" s="26" t="inlineStr">
        <is>
          <t>FP8</t>
        </is>
      </c>
      <c r="I17" s="28" t="n">
        <v>3.9</v>
      </c>
      <c r="J17" s="26" t="inlineStr">
        <is>
          <t>Supported</t>
        </is>
      </c>
    </row>
    <row r="18">
      <c r="A18" s="29" t="inlineStr">
        <is>
          <t>deepseek-v4.1-flash</t>
        </is>
      </c>
      <c r="B18" s="29" t="inlineStr">
        <is>
          <t>Dual DGX Spark Cluster</t>
        </is>
      </c>
      <c r="C18" s="30" t="n">
        <v>256</v>
      </c>
      <c r="D18" s="31" t="inlineStr">
        <is>
          <t>Interactive</t>
        </is>
      </c>
      <c r="E18" s="30" t="n">
        <v>32768</v>
      </c>
      <c r="F18" s="31" t="n">
        <v>1</v>
      </c>
      <c r="G18" s="32" t="inlineStr">
        <is>
          <t>Yes</t>
        </is>
      </c>
      <c r="H18" s="31" t="inlineStr">
        <is>
          <t>FP8</t>
        </is>
      </c>
      <c r="I18" s="33" t="n">
        <v>1.1</v>
      </c>
      <c r="J18" s="31" t="inlineStr">
        <is>
          <t>Supported</t>
        </is>
      </c>
    </row>
    <row r="19">
      <c r="A19" s="4" t="inlineStr">
        <is>
          <t>deepseek-v4.1-flash</t>
        </is>
      </c>
      <c r="B19" s="4" t="inlineStr">
        <is>
          <t>Dual DGX Spark Cluster</t>
        </is>
      </c>
      <c r="C19" s="25" t="n">
        <v>256</v>
      </c>
      <c r="D19" s="26" t="inlineStr">
        <is>
          <t>High Throughput</t>
        </is>
      </c>
      <c r="E19" s="25" t="n">
        <v>65536</v>
      </c>
      <c r="F19" s="26" t="n">
        <v>4</v>
      </c>
      <c r="G19" s="27" t="inlineStr">
        <is>
          <t>Yes</t>
        </is>
      </c>
      <c r="H19" s="26" t="inlineStr">
        <is>
          <t>Q4_K_M</t>
        </is>
      </c>
      <c r="I19" s="28" t="n">
        <v>100.2</v>
      </c>
      <c r="J19" s="26" t="inlineStr">
        <is>
          <t>Supported</t>
        </is>
      </c>
    </row>
    <row r="20">
      <c r="A20" s="29" t="inlineStr">
        <is>
          <t>deepseek-v4.1-flash</t>
        </is>
      </c>
      <c r="B20" s="29" t="inlineStr">
        <is>
          <t>Dual Mac Studio M5 Ultra Cluster</t>
        </is>
      </c>
      <c r="C20" s="30" t="n">
        <v>512</v>
      </c>
      <c r="D20" s="31" t="inlineStr">
        <is>
          <t>Minimum Viable</t>
        </is>
      </c>
      <c r="E20" s="30" t="n">
        <v>8192</v>
      </c>
      <c r="F20" s="31" t="n">
        <v>1</v>
      </c>
      <c r="G20" s="32" t="inlineStr">
        <is>
          <t>Yes</t>
        </is>
      </c>
      <c r="H20" s="31" t="inlineStr">
        <is>
          <t>FP8</t>
        </is>
      </c>
      <c r="I20" s="33" t="n">
        <v>259.9</v>
      </c>
      <c r="J20" s="31" t="inlineStr">
        <is>
          <t>Supported</t>
        </is>
      </c>
    </row>
    <row r="21">
      <c r="A21" s="4" t="inlineStr">
        <is>
          <t>deepseek-v4.1-flash</t>
        </is>
      </c>
      <c r="B21" s="4" t="inlineStr">
        <is>
          <t>Dual Mac Studio M5 Ultra Cluster</t>
        </is>
      </c>
      <c r="C21" s="25" t="n">
        <v>512</v>
      </c>
      <c r="D21" s="26" t="inlineStr">
        <is>
          <t>Interactive</t>
        </is>
      </c>
      <c r="E21" s="25" t="n">
        <v>32768</v>
      </c>
      <c r="F21" s="26" t="n">
        <v>1</v>
      </c>
      <c r="G21" s="27" t="inlineStr">
        <is>
          <t>Yes</t>
        </is>
      </c>
      <c r="H21" s="26" t="inlineStr">
        <is>
          <t>FP8</t>
        </is>
      </c>
      <c r="I21" s="28" t="n">
        <v>257.1</v>
      </c>
      <c r="J21" s="26" t="inlineStr">
        <is>
          <t>Supported</t>
        </is>
      </c>
    </row>
    <row r="22">
      <c r="A22" s="29" t="inlineStr">
        <is>
          <t>deepseek-v4.1-flash</t>
        </is>
      </c>
      <c r="B22" s="29" t="inlineStr">
        <is>
          <t>Dual Mac Studio M5 Ultra Cluster</t>
        </is>
      </c>
      <c r="C22" s="30" t="n">
        <v>512</v>
      </c>
      <c r="D22" s="31" t="inlineStr">
        <is>
          <t>High Throughput</t>
        </is>
      </c>
      <c r="E22" s="30" t="n">
        <v>65536</v>
      </c>
      <c r="F22" s="31" t="n">
        <v>4</v>
      </c>
      <c r="G22" s="32" t="inlineStr">
        <is>
          <t>Yes</t>
        </is>
      </c>
      <c r="H22" s="31" t="inlineStr">
        <is>
          <t>FP8</t>
        </is>
      </c>
      <c r="I22" s="33" t="n">
        <v>247.8</v>
      </c>
      <c r="J22" s="31" t="inlineStr">
        <is>
          <t>Supported</t>
        </is>
      </c>
    </row>
    <row r="23">
      <c r="A23" s="4" t="inlineStr">
        <is>
          <t>deepseek-v4.1-flash</t>
        </is>
      </c>
      <c r="B23" s="4" t="inlineStr">
        <is>
          <t>4x RTX PRO 6000 Blackwell Server</t>
        </is>
      </c>
      <c r="C23" s="25" t="n">
        <v>384</v>
      </c>
      <c r="D23" s="26" t="inlineStr">
        <is>
          <t>Minimum Viable</t>
        </is>
      </c>
      <c r="E23" s="25" t="n">
        <v>8192</v>
      </c>
      <c r="F23" s="26" t="n">
        <v>1</v>
      </c>
      <c r="G23" s="27" t="inlineStr">
        <is>
          <t>Yes</t>
        </is>
      </c>
      <c r="H23" s="26" t="inlineStr">
        <is>
          <t>FP8</t>
        </is>
      </c>
      <c r="I23" s="28" t="n">
        <v>131.9</v>
      </c>
      <c r="J23" s="26" t="inlineStr">
        <is>
          <t>Supported</t>
        </is>
      </c>
    </row>
    <row r="24">
      <c r="A24" s="29" t="inlineStr">
        <is>
          <t>deepseek-v4.1-flash</t>
        </is>
      </c>
      <c r="B24" s="29" t="inlineStr">
        <is>
          <t>4x RTX PRO 6000 Blackwell Server</t>
        </is>
      </c>
      <c r="C24" s="30" t="n">
        <v>384</v>
      </c>
      <c r="D24" s="31" t="inlineStr">
        <is>
          <t>Interactive</t>
        </is>
      </c>
      <c r="E24" s="30" t="n">
        <v>32768</v>
      </c>
      <c r="F24" s="31" t="n">
        <v>1</v>
      </c>
      <c r="G24" s="32" t="inlineStr">
        <is>
          <t>Yes</t>
        </is>
      </c>
      <c r="H24" s="31" t="inlineStr">
        <is>
          <t>FP8</t>
        </is>
      </c>
      <c r="I24" s="33" t="n">
        <v>129.1</v>
      </c>
      <c r="J24" s="31" t="inlineStr">
        <is>
          <t>Supported</t>
        </is>
      </c>
    </row>
    <row r="25">
      <c r="A25" s="4" t="inlineStr">
        <is>
          <t>deepseek-v4.1-flash</t>
        </is>
      </c>
      <c r="B25" s="4" t="inlineStr">
        <is>
          <t>4x RTX PRO 6000 Blackwell Server</t>
        </is>
      </c>
      <c r="C25" s="25" t="n">
        <v>384</v>
      </c>
      <c r="D25" s="26" t="inlineStr">
        <is>
          <t>High Throughput</t>
        </is>
      </c>
      <c r="E25" s="25" t="n">
        <v>65536</v>
      </c>
      <c r="F25" s="26" t="n">
        <v>4</v>
      </c>
      <c r="G25" s="27" t="inlineStr">
        <is>
          <t>Yes</t>
        </is>
      </c>
      <c r="H25" s="26" t="inlineStr">
        <is>
          <t>FP8</t>
        </is>
      </c>
      <c r="I25" s="28" t="n">
        <v>119.8</v>
      </c>
      <c r="J25" s="26" t="inlineStr">
        <is>
          <t>Supported</t>
        </is>
      </c>
    </row>
    <row r="26">
      <c r="A26" s="29" t="inlineStr">
        <is>
          <t>deepseek-v4.1-flash</t>
        </is>
      </c>
      <c r="B26" s="29" t="inlineStr">
        <is>
          <t>HGX H200 8-GPU Server</t>
        </is>
      </c>
      <c r="C26" s="30" t="n">
        <v>1128</v>
      </c>
      <c r="D26" s="31" t="inlineStr">
        <is>
          <t>Minimum Viable</t>
        </is>
      </c>
      <c r="E26" s="30" t="n">
        <v>8192</v>
      </c>
      <c r="F26" s="31" t="n">
        <v>1</v>
      </c>
      <c r="G26" s="32" t="inlineStr">
        <is>
          <t>Yes</t>
        </is>
      </c>
      <c r="H26" s="31" t="inlineStr">
        <is>
          <t>FP8</t>
        </is>
      </c>
      <c r="I26" s="33" t="n">
        <v>875.9</v>
      </c>
      <c r="J26" s="31" t="inlineStr">
        <is>
          <t>Supported</t>
        </is>
      </c>
    </row>
    <row r="27">
      <c r="A27" s="4" t="inlineStr">
        <is>
          <t>deepseek-v4.1-flash</t>
        </is>
      </c>
      <c r="B27" s="4" t="inlineStr">
        <is>
          <t>HGX H200 8-GPU Server</t>
        </is>
      </c>
      <c r="C27" s="25" t="n">
        <v>1128</v>
      </c>
      <c r="D27" s="26" t="inlineStr">
        <is>
          <t>Interactive</t>
        </is>
      </c>
      <c r="E27" s="25" t="n">
        <v>32768</v>
      </c>
      <c r="F27" s="26" t="n">
        <v>1</v>
      </c>
      <c r="G27" s="27" t="inlineStr">
        <is>
          <t>Yes</t>
        </is>
      </c>
      <c r="H27" s="26" t="inlineStr">
        <is>
          <t>FP8</t>
        </is>
      </c>
      <c r="I27" s="28" t="n">
        <v>873.1</v>
      </c>
      <c r="J27" s="26" t="inlineStr">
        <is>
          <t>Supported</t>
        </is>
      </c>
    </row>
    <row r="28">
      <c r="A28" s="29" t="inlineStr">
        <is>
          <t>deepseek-v4.1-flash</t>
        </is>
      </c>
      <c r="B28" s="29" t="inlineStr">
        <is>
          <t>HGX H200 8-GPU Server</t>
        </is>
      </c>
      <c r="C28" s="30" t="n">
        <v>1128</v>
      </c>
      <c r="D28" s="31" t="inlineStr">
        <is>
          <t>High Throughput</t>
        </is>
      </c>
      <c r="E28" s="30" t="n">
        <v>65536</v>
      </c>
      <c r="F28" s="31" t="n">
        <v>4</v>
      </c>
      <c r="G28" s="32" t="inlineStr">
        <is>
          <t>Yes</t>
        </is>
      </c>
      <c r="H28" s="31" t="inlineStr">
        <is>
          <t>FP8</t>
        </is>
      </c>
      <c r="I28" s="33" t="n">
        <v>863.8</v>
      </c>
      <c r="J28" s="31" t="inlineStr">
        <is>
          <t>Supported</t>
        </is>
      </c>
    </row>
    <row r="29">
      <c r="A29" s="4" t="inlineStr">
        <is>
          <t>deepseek-v4-pro</t>
        </is>
      </c>
      <c r="B29" s="4" t="inlineStr">
        <is>
          <t>Mac Studio M5 Max</t>
        </is>
      </c>
      <c r="C29" s="25" t="n">
        <v>128</v>
      </c>
      <c r="D29" s="26" t="inlineStr">
        <is>
          <t>Minimum Viable</t>
        </is>
      </c>
      <c r="E29" s="25" t="n">
        <v>8192</v>
      </c>
      <c r="F29" s="26" t="n">
        <v>1</v>
      </c>
      <c r="G29" s="34" t="inlineStr">
        <is>
          <t>No</t>
        </is>
      </c>
      <c r="H29" s="26" t="inlineStr">
        <is>
          <t>Does not fit</t>
        </is>
      </c>
      <c r="I29" s="28" t="n">
        <v>-173</v>
      </c>
      <c r="J29" s="26" t="inlineStr">
        <is>
          <t>Insufficient VRAM</t>
        </is>
      </c>
    </row>
    <row r="30">
      <c r="A30" s="29" t="inlineStr">
        <is>
          <t>deepseek-v4-pro</t>
        </is>
      </c>
      <c r="B30" s="29" t="inlineStr">
        <is>
          <t>Mac Studio M5 Max</t>
        </is>
      </c>
      <c r="C30" s="30" t="n">
        <v>128</v>
      </c>
      <c r="D30" s="31" t="inlineStr">
        <is>
          <t>Interactive</t>
        </is>
      </c>
      <c r="E30" s="30" t="n">
        <v>32768</v>
      </c>
      <c r="F30" s="31" t="n">
        <v>1</v>
      </c>
      <c r="G30" s="35" t="inlineStr">
        <is>
          <t>No</t>
        </is>
      </c>
      <c r="H30" s="31" t="inlineStr">
        <is>
          <t>Does not fit</t>
        </is>
      </c>
      <c r="I30" s="33" t="n">
        <v>-175.8</v>
      </c>
      <c r="J30" s="31" t="inlineStr">
        <is>
          <t>Insufficient VRAM</t>
        </is>
      </c>
    </row>
    <row r="31">
      <c r="A31" s="4" t="inlineStr">
        <is>
          <t>deepseek-v4-pro</t>
        </is>
      </c>
      <c r="B31" s="4" t="inlineStr">
        <is>
          <t>Mac Studio M5 Max</t>
        </is>
      </c>
      <c r="C31" s="25" t="n">
        <v>128</v>
      </c>
      <c r="D31" s="26" t="inlineStr">
        <is>
          <t>High Throughput</t>
        </is>
      </c>
      <c r="E31" s="25" t="n">
        <v>65536</v>
      </c>
      <c r="F31" s="26" t="n">
        <v>4</v>
      </c>
      <c r="G31" s="34" t="inlineStr">
        <is>
          <t>No</t>
        </is>
      </c>
      <c r="H31" s="26" t="inlineStr">
        <is>
          <t>Does not fit</t>
        </is>
      </c>
      <c r="I31" s="28" t="n">
        <v>-185.7</v>
      </c>
      <c r="J31" s="26" t="inlineStr">
        <is>
          <t>Insufficient VRAM</t>
        </is>
      </c>
    </row>
    <row r="32">
      <c r="A32" s="29" t="inlineStr">
        <is>
          <t>deepseek-v4-pro</t>
        </is>
      </c>
      <c r="B32" s="29" t="inlineStr">
        <is>
          <t>Mac Studio M5 Ultra</t>
        </is>
      </c>
      <c r="C32" s="30" t="n">
        <v>256</v>
      </c>
      <c r="D32" s="31" t="inlineStr">
        <is>
          <t>Minimum Viable</t>
        </is>
      </c>
      <c r="E32" s="30" t="n">
        <v>8192</v>
      </c>
      <c r="F32" s="31" t="n">
        <v>1</v>
      </c>
      <c r="G32" s="35" t="inlineStr">
        <is>
          <t>No</t>
        </is>
      </c>
      <c r="H32" s="31" t="inlineStr">
        <is>
          <t>Does not fit</t>
        </is>
      </c>
      <c r="I32" s="33" t="n">
        <v>-45</v>
      </c>
      <c r="J32" s="31" t="inlineStr">
        <is>
          <t>Insufficient VRAM</t>
        </is>
      </c>
    </row>
    <row r="33">
      <c r="A33" s="4" t="inlineStr">
        <is>
          <t>deepseek-v4-pro</t>
        </is>
      </c>
      <c r="B33" s="4" t="inlineStr">
        <is>
          <t>Mac Studio M5 Ultra</t>
        </is>
      </c>
      <c r="C33" s="25" t="n">
        <v>256</v>
      </c>
      <c r="D33" s="26" t="inlineStr">
        <is>
          <t>Interactive</t>
        </is>
      </c>
      <c r="E33" s="25" t="n">
        <v>32768</v>
      </c>
      <c r="F33" s="26" t="n">
        <v>1</v>
      </c>
      <c r="G33" s="34" t="inlineStr">
        <is>
          <t>No</t>
        </is>
      </c>
      <c r="H33" s="26" t="inlineStr">
        <is>
          <t>Does not fit</t>
        </is>
      </c>
      <c r="I33" s="28" t="n">
        <v>-47.8</v>
      </c>
      <c r="J33" s="26" t="inlineStr">
        <is>
          <t>Insufficient VRAM</t>
        </is>
      </c>
    </row>
    <row r="34">
      <c r="A34" s="29" t="inlineStr">
        <is>
          <t>deepseek-v4-pro</t>
        </is>
      </c>
      <c r="B34" s="29" t="inlineStr">
        <is>
          <t>Mac Studio M5 Ultra</t>
        </is>
      </c>
      <c r="C34" s="30" t="n">
        <v>256</v>
      </c>
      <c r="D34" s="31" t="inlineStr">
        <is>
          <t>High Throughput</t>
        </is>
      </c>
      <c r="E34" s="30" t="n">
        <v>65536</v>
      </c>
      <c r="F34" s="31" t="n">
        <v>4</v>
      </c>
      <c r="G34" s="35" t="inlineStr">
        <is>
          <t>No</t>
        </is>
      </c>
      <c r="H34" s="31" t="inlineStr">
        <is>
          <t>Does not fit</t>
        </is>
      </c>
      <c r="I34" s="33" t="n">
        <v>-57.7</v>
      </c>
      <c r="J34" s="31" t="inlineStr">
        <is>
          <t>Insufficient VRAM</t>
        </is>
      </c>
    </row>
    <row r="35">
      <c r="A35" s="4" t="inlineStr">
        <is>
          <t>deepseek-v4-pro</t>
        </is>
      </c>
      <c r="B35" s="4" t="inlineStr">
        <is>
          <t>Mac Studio M5 Ultra (512GB)</t>
        </is>
      </c>
      <c r="C35" s="25" t="n">
        <v>512</v>
      </c>
      <c r="D35" s="26" t="inlineStr">
        <is>
          <t>Minimum Viable</t>
        </is>
      </c>
      <c r="E35" s="25" t="n">
        <v>8192</v>
      </c>
      <c r="F35" s="26" t="n">
        <v>1</v>
      </c>
      <c r="G35" s="27" t="inlineStr">
        <is>
          <t>Yes</t>
        </is>
      </c>
      <c r="H35" s="26" t="inlineStr">
        <is>
          <t>Q4_K_M</t>
        </is>
      </c>
      <c r="I35" s="28" t="n">
        <v>103.1</v>
      </c>
      <c r="J35" s="26" t="inlineStr">
        <is>
          <t>Supported</t>
        </is>
      </c>
    </row>
    <row r="36">
      <c r="A36" s="29" t="inlineStr">
        <is>
          <t>deepseek-v4-pro</t>
        </is>
      </c>
      <c r="B36" s="29" t="inlineStr">
        <is>
          <t>Mac Studio M5 Ultra (512GB)</t>
        </is>
      </c>
      <c r="C36" s="30" t="n">
        <v>512</v>
      </c>
      <c r="D36" s="31" t="inlineStr">
        <is>
          <t>Interactive</t>
        </is>
      </c>
      <c r="E36" s="30" t="n">
        <v>32768</v>
      </c>
      <c r="F36" s="31" t="n">
        <v>1</v>
      </c>
      <c r="G36" s="32" t="inlineStr">
        <is>
          <t>Yes</t>
        </is>
      </c>
      <c r="H36" s="31" t="inlineStr">
        <is>
          <t>Q4_K_M</t>
        </is>
      </c>
      <c r="I36" s="33" t="n">
        <v>100.3</v>
      </c>
      <c r="J36" s="31" t="inlineStr">
        <is>
          <t>Supported</t>
        </is>
      </c>
    </row>
    <row r="37">
      <c r="A37" s="4" t="inlineStr">
        <is>
          <t>deepseek-v4-pro</t>
        </is>
      </c>
      <c r="B37" s="4" t="inlineStr">
        <is>
          <t>Mac Studio M5 Ultra (512GB)</t>
        </is>
      </c>
      <c r="C37" s="25" t="n">
        <v>512</v>
      </c>
      <c r="D37" s="26" t="inlineStr">
        <is>
          <t>High Throughput</t>
        </is>
      </c>
      <c r="E37" s="25" t="n">
        <v>65536</v>
      </c>
      <c r="F37" s="26" t="n">
        <v>4</v>
      </c>
      <c r="G37" s="27" t="inlineStr">
        <is>
          <t>Yes</t>
        </is>
      </c>
      <c r="H37" s="26" t="inlineStr">
        <is>
          <t>Q4_K_M</t>
        </is>
      </c>
      <c r="I37" s="28" t="n">
        <v>90.40000000000001</v>
      </c>
      <c r="J37" s="26" t="inlineStr">
        <is>
          <t>Supported</t>
        </is>
      </c>
    </row>
    <row r="38">
      <c r="A38" s="29" t="inlineStr">
        <is>
          <t>deepseek-v4-pro</t>
        </is>
      </c>
      <c r="B38" s="29" t="inlineStr">
        <is>
          <t>NVIDIA DGX Spark</t>
        </is>
      </c>
      <c r="C38" s="30" t="n">
        <v>128</v>
      </c>
      <c r="D38" s="31" t="inlineStr">
        <is>
          <t>Minimum Viable</t>
        </is>
      </c>
      <c r="E38" s="30" t="n">
        <v>8192</v>
      </c>
      <c r="F38" s="31" t="n">
        <v>1</v>
      </c>
      <c r="G38" s="35" t="inlineStr">
        <is>
          <t>No</t>
        </is>
      </c>
      <c r="H38" s="31" t="inlineStr">
        <is>
          <t>Does not fit</t>
        </is>
      </c>
      <c r="I38" s="33" t="n">
        <v>-173</v>
      </c>
      <c r="J38" s="31" t="inlineStr">
        <is>
          <t>Insufficient VRAM</t>
        </is>
      </c>
    </row>
    <row r="39">
      <c r="A39" s="4" t="inlineStr">
        <is>
          <t>deepseek-v4-pro</t>
        </is>
      </c>
      <c r="B39" s="4" t="inlineStr">
        <is>
          <t>NVIDIA DGX Spark</t>
        </is>
      </c>
      <c r="C39" s="25" t="n">
        <v>128</v>
      </c>
      <c r="D39" s="26" t="inlineStr">
        <is>
          <t>Interactive</t>
        </is>
      </c>
      <c r="E39" s="25" t="n">
        <v>32768</v>
      </c>
      <c r="F39" s="26" t="n">
        <v>1</v>
      </c>
      <c r="G39" s="34" t="inlineStr">
        <is>
          <t>No</t>
        </is>
      </c>
      <c r="H39" s="26" t="inlineStr">
        <is>
          <t>Does not fit</t>
        </is>
      </c>
      <c r="I39" s="28" t="n">
        <v>-175.8</v>
      </c>
      <c r="J39" s="26" t="inlineStr">
        <is>
          <t>Insufficient VRAM</t>
        </is>
      </c>
    </row>
    <row r="40">
      <c r="A40" s="29" t="inlineStr">
        <is>
          <t>deepseek-v4-pro</t>
        </is>
      </c>
      <c r="B40" s="29" t="inlineStr">
        <is>
          <t>NVIDIA DGX Spark</t>
        </is>
      </c>
      <c r="C40" s="30" t="n">
        <v>128</v>
      </c>
      <c r="D40" s="31" t="inlineStr">
        <is>
          <t>High Throughput</t>
        </is>
      </c>
      <c r="E40" s="30" t="n">
        <v>65536</v>
      </c>
      <c r="F40" s="31" t="n">
        <v>4</v>
      </c>
      <c r="G40" s="35" t="inlineStr">
        <is>
          <t>No</t>
        </is>
      </c>
      <c r="H40" s="31" t="inlineStr">
        <is>
          <t>Does not fit</t>
        </is>
      </c>
      <c r="I40" s="33" t="n">
        <v>-185.7</v>
      </c>
      <c r="J40" s="31" t="inlineStr">
        <is>
          <t>Insufficient VRAM</t>
        </is>
      </c>
    </row>
    <row r="41">
      <c r="A41" s="4" t="inlineStr">
        <is>
          <t>deepseek-v4-pro</t>
        </is>
      </c>
      <c r="B41" s="4" t="inlineStr">
        <is>
          <t>Dual DGX Spark Cluster</t>
        </is>
      </c>
      <c r="C41" s="25" t="n">
        <v>256</v>
      </c>
      <c r="D41" s="26" t="inlineStr">
        <is>
          <t>Minimum Viable</t>
        </is>
      </c>
      <c r="E41" s="25" t="n">
        <v>8192</v>
      </c>
      <c r="F41" s="26" t="n">
        <v>1</v>
      </c>
      <c r="G41" s="34" t="inlineStr">
        <is>
          <t>No</t>
        </is>
      </c>
      <c r="H41" s="26" t="inlineStr">
        <is>
          <t>Does not fit</t>
        </is>
      </c>
      <c r="I41" s="28" t="n">
        <v>-45</v>
      </c>
      <c r="J41" s="26" t="inlineStr">
        <is>
          <t>Insufficient VRAM</t>
        </is>
      </c>
    </row>
    <row r="42">
      <c r="A42" s="29" t="inlineStr">
        <is>
          <t>deepseek-v4-pro</t>
        </is>
      </c>
      <c r="B42" s="29" t="inlineStr">
        <is>
          <t>Dual DGX Spark Cluster</t>
        </is>
      </c>
      <c r="C42" s="30" t="n">
        <v>256</v>
      </c>
      <c r="D42" s="31" t="inlineStr">
        <is>
          <t>Interactive</t>
        </is>
      </c>
      <c r="E42" s="30" t="n">
        <v>32768</v>
      </c>
      <c r="F42" s="31" t="n">
        <v>1</v>
      </c>
      <c r="G42" s="35" t="inlineStr">
        <is>
          <t>No</t>
        </is>
      </c>
      <c r="H42" s="31" t="inlineStr">
        <is>
          <t>Does not fit</t>
        </is>
      </c>
      <c r="I42" s="33" t="n">
        <v>-47.8</v>
      </c>
      <c r="J42" s="31" t="inlineStr">
        <is>
          <t>Insufficient VRAM</t>
        </is>
      </c>
    </row>
    <row r="43">
      <c r="A43" s="4" t="inlineStr">
        <is>
          <t>deepseek-v4-pro</t>
        </is>
      </c>
      <c r="B43" s="4" t="inlineStr">
        <is>
          <t>Dual DGX Spark Cluster</t>
        </is>
      </c>
      <c r="C43" s="25" t="n">
        <v>256</v>
      </c>
      <c r="D43" s="26" t="inlineStr">
        <is>
          <t>High Throughput</t>
        </is>
      </c>
      <c r="E43" s="25" t="n">
        <v>65536</v>
      </c>
      <c r="F43" s="26" t="n">
        <v>4</v>
      </c>
      <c r="G43" s="34" t="inlineStr">
        <is>
          <t>No</t>
        </is>
      </c>
      <c r="H43" s="26" t="inlineStr">
        <is>
          <t>Does not fit</t>
        </is>
      </c>
      <c r="I43" s="28" t="n">
        <v>-57.7</v>
      </c>
      <c r="J43" s="26" t="inlineStr">
        <is>
          <t>Insufficient VRAM</t>
        </is>
      </c>
    </row>
    <row r="44">
      <c r="A44" s="29" t="inlineStr">
        <is>
          <t>deepseek-v4-pro</t>
        </is>
      </c>
      <c r="B44" s="29" t="inlineStr">
        <is>
          <t>Dual Mac Studio M5 Ultra Cluster</t>
        </is>
      </c>
      <c r="C44" s="30" t="n">
        <v>512</v>
      </c>
      <c r="D44" s="31" t="inlineStr">
        <is>
          <t>Minimum Viable</t>
        </is>
      </c>
      <c r="E44" s="30" t="n">
        <v>8192</v>
      </c>
      <c r="F44" s="31" t="n">
        <v>1</v>
      </c>
      <c r="G44" s="32" t="inlineStr">
        <is>
          <t>Yes</t>
        </is>
      </c>
      <c r="H44" s="31" t="inlineStr">
        <is>
          <t>Q4_K_M</t>
        </is>
      </c>
      <c r="I44" s="33" t="n">
        <v>103.1</v>
      </c>
      <c r="J44" s="31" t="inlineStr">
        <is>
          <t>Supported</t>
        </is>
      </c>
    </row>
    <row r="45">
      <c r="A45" s="4" t="inlineStr">
        <is>
          <t>deepseek-v4-pro</t>
        </is>
      </c>
      <c r="B45" s="4" t="inlineStr">
        <is>
          <t>Dual Mac Studio M5 Ultra Cluster</t>
        </is>
      </c>
      <c r="C45" s="25" t="n">
        <v>512</v>
      </c>
      <c r="D45" s="26" t="inlineStr">
        <is>
          <t>Interactive</t>
        </is>
      </c>
      <c r="E45" s="25" t="n">
        <v>32768</v>
      </c>
      <c r="F45" s="26" t="n">
        <v>1</v>
      </c>
      <c r="G45" s="27" t="inlineStr">
        <is>
          <t>Yes</t>
        </is>
      </c>
      <c r="H45" s="26" t="inlineStr">
        <is>
          <t>Q4_K_M</t>
        </is>
      </c>
      <c r="I45" s="28" t="n">
        <v>100.3</v>
      </c>
      <c r="J45" s="26" t="inlineStr">
        <is>
          <t>Supported</t>
        </is>
      </c>
    </row>
    <row r="46">
      <c r="A46" s="29" t="inlineStr">
        <is>
          <t>deepseek-v4-pro</t>
        </is>
      </c>
      <c r="B46" s="29" t="inlineStr">
        <is>
          <t>Dual Mac Studio M5 Ultra Cluster</t>
        </is>
      </c>
      <c r="C46" s="30" t="n">
        <v>512</v>
      </c>
      <c r="D46" s="31" t="inlineStr">
        <is>
          <t>High Throughput</t>
        </is>
      </c>
      <c r="E46" s="30" t="n">
        <v>65536</v>
      </c>
      <c r="F46" s="31" t="n">
        <v>4</v>
      </c>
      <c r="G46" s="32" t="inlineStr">
        <is>
          <t>Yes</t>
        </is>
      </c>
      <c r="H46" s="31" t="inlineStr">
        <is>
          <t>Q4_K_M</t>
        </is>
      </c>
      <c r="I46" s="33" t="n">
        <v>90.40000000000001</v>
      </c>
      <c r="J46" s="31" t="inlineStr">
        <is>
          <t>Supported</t>
        </is>
      </c>
    </row>
    <row r="47">
      <c r="A47" s="4" t="inlineStr">
        <is>
          <t>deepseek-v4-pro</t>
        </is>
      </c>
      <c r="B47" s="4" t="inlineStr">
        <is>
          <t>4x RTX PRO 6000 Blackwell Server</t>
        </is>
      </c>
      <c r="C47" s="25" t="n">
        <v>384</v>
      </c>
      <c r="D47" s="26" t="inlineStr">
        <is>
          <t>Minimum Viable</t>
        </is>
      </c>
      <c r="E47" s="25" t="n">
        <v>8192</v>
      </c>
      <c r="F47" s="26" t="n">
        <v>1</v>
      </c>
      <c r="G47" s="27" t="inlineStr">
        <is>
          <t>Yes</t>
        </is>
      </c>
      <c r="H47" s="26" t="inlineStr">
        <is>
          <t>UD-Q3_K_XL</t>
        </is>
      </c>
      <c r="I47" s="28" t="n">
        <v>83</v>
      </c>
      <c r="J47" s="26" t="inlineStr">
        <is>
          <t>Supported</t>
        </is>
      </c>
    </row>
    <row r="48">
      <c r="A48" s="29" t="inlineStr">
        <is>
          <t>deepseek-v4-pro</t>
        </is>
      </c>
      <c r="B48" s="29" t="inlineStr">
        <is>
          <t>4x RTX PRO 6000 Blackwell Server</t>
        </is>
      </c>
      <c r="C48" s="30" t="n">
        <v>384</v>
      </c>
      <c r="D48" s="31" t="inlineStr">
        <is>
          <t>Interactive</t>
        </is>
      </c>
      <c r="E48" s="30" t="n">
        <v>32768</v>
      </c>
      <c r="F48" s="31" t="n">
        <v>1</v>
      </c>
      <c r="G48" s="32" t="inlineStr">
        <is>
          <t>Yes</t>
        </is>
      </c>
      <c r="H48" s="31" t="inlineStr">
        <is>
          <t>UD-Q3_K_XL</t>
        </is>
      </c>
      <c r="I48" s="33" t="n">
        <v>80.2</v>
      </c>
      <c r="J48" s="31" t="inlineStr">
        <is>
          <t>Supported</t>
        </is>
      </c>
    </row>
    <row r="49">
      <c r="A49" s="4" t="inlineStr">
        <is>
          <t>deepseek-v4-pro</t>
        </is>
      </c>
      <c r="B49" s="4" t="inlineStr">
        <is>
          <t>4x RTX PRO 6000 Blackwell Server</t>
        </is>
      </c>
      <c r="C49" s="25" t="n">
        <v>384</v>
      </c>
      <c r="D49" s="26" t="inlineStr">
        <is>
          <t>High Throughput</t>
        </is>
      </c>
      <c r="E49" s="25" t="n">
        <v>65536</v>
      </c>
      <c r="F49" s="26" t="n">
        <v>4</v>
      </c>
      <c r="G49" s="27" t="inlineStr">
        <is>
          <t>Yes</t>
        </is>
      </c>
      <c r="H49" s="26" t="inlineStr">
        <is>
          <t>UD-Q3_K_XL</t>
        </is>
      </c>
      <c r="I49" s="28" t="n">
        <v>70.3</v>
      </c>
      <c r="J49" s="26" t="inlineStr">
        <is>
          <t>Supported</t>
        </is>
      </c>
    </row>
    <row r="50">
      <c r="A50" s="29" t="inlineStr">
        <is>
          <t>deepseek-v4-pro</t>
        </is>
      </c>
      <c r="B50" s="29" t="inlineStr">
        <is>
          <t>HGX H200 8-GPU Server</t>
        </is>
      </c>
      <c r="C50" s="30" t="n">
        <v>1128</v>
      </c>
      <c r="D50" s="31" t="inlineStr">
        <is>
          <t>Minimum Viable</t>
        </is>
      </c>
      <c r="E50" s="30" t="n">
        <v>8192</v>
      </c>
      <c r="F50" s="31" t="n">
        <v>1</v>
      </c>
      <c r="G50" s="32" t="inlineStr">
        <is>
          <t>Yes</t>
        </is>
      </c>
      <c r="H50" s="31" t="inlineStr">
        <is>
          <t>FP8</t>
        </is>
      </c>
      <c r="I50" s="33" t="n">
        <v>404.5</v>
      </c>
      <c r="J50" s="31" t="inlineStr">
        <is>
          <t>Supported</t>
        </is>
      </c>
    </row>
    <row r="51">
      <c r="A51" s="4" t="inlineStr">
        <is>
          <t>deepseek-v4-pro</t>
        </is>
      </c>
      <c r="B51" s="4" t="inlineStr">
        <is>
          <t>HGX H200 8-GPU Server</t>
        </is>
      </c>
      <c r="C51" s="25" t="n">
        <v>1128</v>
      </c>
      <c r="D51" s="26" t="inlineStr">
        <is>
          <t>Interactive</t>
        </is>
      </c>
      <c r="E51" s="25" t="n">
        <v>32768</v>
      </c>
      <c r="F51" s="26" t="n">
        <v>1</v>
      </c>
      <c r="G51" s="27" t="inlineStr">
        <is>
          <t>Yes</t>
        </is>
      </c>
      <c r="H51" s="26" t="inlineStr">
        <is>
          <t>FP8</t>
        </is>
      </c>
      <c r="I51" s="28" t="n">
        <v>401.6</v>
      </c>
      <c r="J51" s="26" t="inlineStr">
        <is>
          <t>Supported</t>
        </is>
      </c>
    </row>
    <row r="52">
      <c r="A52" s="29" t="inlineStr">
        <is>
          <t>deepseek-v4-pro</t>
        </is>
      </c>
      <c r="B52" s="29" t="inlineStr">
        <is>
          <t>HGX H200 8-GPU Server</t>
        </is>
      </c>
      <c r="C52" s="30" t="n">
        <v>1128</v>
      </c>
      <c r="D52" s="31" t="inlineStr">
        <is>
          <t>High Throughput</t>
        </is>
      </c>
      <c r="E52" s="30" t="n">
        <v>65536</v>
      </c>
      <c r="F52" s="31" t="n">
        <v>4</v>
      </c>
      <c r="G52" s="32" t="inlineStr">
        <is>
          <t>Yes</t>
        </is>
      </c>
      <c r="H52" s="31" t="inlineStr">
        <is>
          <t>FP8</t>
        </is>
      </c>
      <c r="I52" s="33" t="n">
        <v>391.8</v>
      </c>
      <c r="J52" s="31" t="inlineStr">
        <is>
          <t>Supported</t>
        </is>
      </c>
    </row>
    <row r="53">
      <c r="A53" s="4" t="inlineStr">
        <is>
          <t>qwen3.8-27b</t>
        </is>
      </c>
      <c r="B53" s="4" t="inlineStr">
        <is>
          <t>Mac Studio M5 Max</t>
        </is>
      </c>
      <c r="C53" s="25" t="n">
        <v>128</v>
      </c>
      <c r="D53" s="26" t="inlineStr">
        <is>
          <t>Minimum Viable</t>
        </is>
      </c>
      <c r="E53" s="25" t="n">
        <v>8192</v>
      </c>
      <c r="F53" s="26" t="n">
        <v>1</v>
      </c>
      <c r="G53" s="27" t="inlineStr">
        <is>
          <t>Yes</t>
        </is>
      </c>
      <c r="H53" s="26" t="inlineStr">
        <is>
          <t>FP8</t>
        </is>
      </c>
      <c r="I53" s="28" t="n">
        <v>94.40000000000001</v>
      </c>
      <c r="J53" s="26" t="inlineStr">
        <is>
          <t>Supported</t>
        </is>
      </c>
    </row>
    <row r="54">
      <c r="A54" s="29" t="inlineStr">
        <is>
          <t>qwen3.8-27b</t>
        </is>
      </c>
      <c r="B54" s="29" t="inlineStr">
        <is>
          <t>Mac Studio M5 Max</t>
        </is>
      </c>
      <c r="C54" s="30" t="n">
        <v>128</v>
      </c>
      <c r="D54" s="31" t="inlineStr">
        <is>
          <t>Interactive</t>
        </is>
      </c>
      <c r="E54" s="30" t="n">
        <v>32768</v>
      </c>
      <c r="F54" s="31" t="n">
        <v>1</v>
      </c>
      <c r="G54" s="32" t="inlineStr">
        <is>
          <t>Yes</t>
        </is>
      </c>
      <c r="H54" s="31" t="inlineStr">
        <is>
          <t>FP8</t>
        </is>
      </c>
      <c r="I54" s="33" t="n">
        <v>89.40000000000001</v>
      </c>
      <c r="J54" s="31" t="inlineStr">
        <is>
          <t>Supported</t>
        </is>
      </c>
    </row>
    <row r="55">
      <c r="A55" s="4" t="inlineStr">
        <is>
          <t>qwen3.8-27b</t>
        </is>
      </c>
      <c r="B55" s="4" t="inlineStr">
        <is>
          <t>Mac Studio M5 Max</t>
        </is>
      </c>
      <c r="C55" s="25" t="n">
        <v>128</v>
      </c>
      <c r="D55" s="26" t="inlineStr">
        <is>
          <t>High Throughput</t>
        </is>
      </c>
      <c r="E55" s="25" t="n">
        <v>65536</v>
      </c>
      <c r="F55" s="26" t="n">
        <v>4</v>
      </c>
      <c r="G55" s="27" t="inlineStr">
        <is>
          <t>Yes</t>
        </is>
      </c>
      <c r="H55" s="26" t="inlineStr">
        <is>
          <t>FP8</t>
        </is>
      </c>
      <c r="I55" s="28" t="n">
        <v>59.4</v>
      </c>
      <c r="J55" s="26" t="inlineStr">
        <is>
          <t>Supported</t>
        </is>
      </c>
    </row>
    <row r="56">
      <c r="A56" s="29" t="inlineStr">
        <is>
          <t>qwen3.8-27b</t>
        </is>
      </c>
      <c r="B56" s="29" t="inlineStr">
        <is>
          <t>Mac Studio M5 Ultra</t>
        </is>
      </c>
      <c r="C56" s="30" t="n">
        <v>256</v>
      </c>
      <c r="D56" s="31" t="inlineStr">
        <is>
          <t>Minimum Viable</t>
        </is>
      </c>
      <c r="E56" s="30" t="n">
        <v>8192</v>
      </c>
      <c r="F56" s="31" t="n">
        <v>1</v>
      </c>
      <c r="G56" s="32" t="inlineStr">
        <is>
          <t>Yes</t>
        </is>
      </c>
      <c r="H56" s="31" t="inlineStr">
        <is>
          <t>FP8</t>
        </is>
      </c>
      <c r="I56" s="33" t="n">
        <v>222.4</v>
      </c>
      <c r="J56" s="31" t="inlineStr">
        <is>
          <t>Supported</t>
        </is>
      </c>
    </row>
    <row r="57">
      <c r="A57" s="4" t="inlineStr">
        <is>
          <t>qwen3.8-27b</t>
        </is>
      </c>
      <c r="B57" s="4" t="inlineStr">
        <is>
          <t>Mac Studio M5 Ultra</t>
        </is>
      </c>
      <c r="C57" s="25" t="n">
        <v>256</v>
      </c>
      <c r="D57" s="26" t="inlineStr">
        <is>
          <t>Interactive</t>
        </is>
      </c>
      <c r="E57" s="25" t="n">
        <v>32768</v>
      </c>
      <c r="F57" s="26" t="n">
        <v>1</v>
      </c>
      <c r="G57" s="27" t="inlineStr">
        <is>
          <t>Yes</t>
        </is>
      </c>
      <c r="H57" s="26" t="inlineStr">
        <is>
          <t>FP8</t>
        </is>
      </c>
      <c r="I57" s="28" t="n">
        <v>217.4</v>
      </c>
      <c r="J57" s="26" t="inlineStr">
        <is>
          <t>Supported</t>
        </is>
      </c>
    </row>
    <row r="58">
      <c r="A58" s="29" t="inlineStr">
        <is>
          <t>qwen3.8-27b</t>
        </is>
      </c>
      <c r="B58" s="29" t="inlineStr">
        <is>
          <t>Mac Studio M5 Ultra</t>
        </is>
      </c>
      <c r="C58" s="30" t="n">
        <v>256</v>
      </c>
      <c r="D58" s="31" t="inlineStr">
        <is>
          <t>High Throughput</t>
        </is>
      </c>
      <c r="E58" s="30" t="n">
        <v>65536</v>
      </c>
      <c r="F58" s="31" t="n">
        <v>4</v>
      </c>
      <c r="G58" s="32" t="inlineStr">
        <is>
          <t>Yes</t>
        </is>
      </c>
      <c r="H58" s="31" t="inlineStr">
        <is>
          <t>FP8</t>
        </is>
      </c>
      <c r="I58" s="33" t="n">
        <v>187.4</v>
      </c>
      <c r="J58" s="31" t="inlineStr">
        <is>
          <t>Supported</t>
        </is>
      </c>
    </row>
    <row r="59">
      <c r="A59" s="4" t="inlineStr">
        <is>
          <t>qwen3.8-27b</t>
        </is>
      </c>
      <c r="B59" s="4" t="inlineStr">
        <is>
          <t>Mac Studio M5 Ultra (512GB)</t>
        </is>
      </c>
      <c r="C59" s="25" t="n">
        <v>512</v>
      </c>
      <c r="D59" s="26" t="inlineStr">
        <is>
          <t>Minimum Viable</t>
        </is>
      </c>
      <c r="E59" s="25" t="n">
        <v>8192</v>
      </c>
      <c r="F59" s="26" t="n">
        <v>1</v>
      </c>
      <c r="G59" s="27" t="inlineStr">
        <is>
          <t>Yes</t>
        </is>
      </c>
      <c r="H59" s="26" t="inlineStr">
        <is>
          <t>FP8</t>
        </is>
      </c>
      <c r="I59" s="28" t="n">
        <v>478.4</v>
      </c>
      <c r="J59" s="26" t="inlineStr">
        <is>
          <t>Supported</t>
        </is>
      </c>
    </row>
    <row r="60">
      <c r="A60" s="29" t="inlineStr">
        <is>
          <t>qwen3.8-27b</t>
        </is>
      </c>
      <c r="B60" s="29" t="inlineStr">
        <is>
          <t>Mac Studio M5 Ultra (512GB)</t>
        </is>
      </c>
      <c r="C60" s="30" t="n">
        <v>512</v>
      </c>
      <c r="D60" s="31" t="inlineStr">
        <is>
          <t>Interactive</t>
        </is>
      </c>
      <c r="E60" s="30" t="n">
        <v>32768</v>
      </c>
      <c r="F60" s="31" t="n">
        <v>1</v>
      </c>
      <c r="G60" s="32" t="inlineStr">
        <is>
          <t>Yes</t>
        </is>
      </c>
      <c r="H60" s="31" t="inlineStr">
        <is>
          <t>FP8</t>
        </is>
      </c>
      <c r="I60" s="33" t="n">
        <v>473.4</v>
      </c>
      <c r="J60" s="31" t="inlineStr">
        <is>
          <t>Supported</t>
        </is>
      </c>
    </row>
    <row r="61">
      <c r="A61" s="4" t="inlineStr">
        <is>
          <t>qwen3.8-27b</t>
        </is>
      </c>
      <c r="B61" s="4" t="inlineStr">
        <is>
          <t>Mac Studio M5 Ultra (512GB)</t>
        </is>
      </c>
      <c r="C61" s="25" t="n">
        <v>512</v>
      </c>
      <c r="D61" s="26" t="inlineStr">
        <is>
          <t>High Throughput</t>
        </is>
      </c>
      <c r="E61" s="25" t="n">
        <v>65536</v>
      </c>
      <c r="F61" s="26" t="n">
        <v>4</v>
      </c>
      <c r="G61" s="27" t="inlineStr">
        <is>
          <t>Yes</t>
        </is>
      </c>
      <c r="H61" s="26" t="inlineStr">
        <is>
          <t>FP8</t>
        </is>
      </c>
      <c r="I61" s="28" t="n">
        <v>443.4</v>
      </c>
      <c r="J61" s="26" t="inlineStr">
        <is>
          <t>Supported</t>
        </is>
      </c>
    </row>
    <row r="62">
      <c r="A62" s="29" t="inlineStr">
        <is>
          <t>qwen3.8-27b</t>
        </is>
      </c>
      <c r="B62" s="29" t="inlineStr">
        <is>
          <t>NVIDIA DGX Spark</t>
        </is>
      </c>
      <c r="C62" s="30" t="n">
        <v>128</v>
      </c>
      <c r="D62" s="31" t="inlineStr">
        <is>
          <t>Minimum Viable</t>
        </is>
      </c>
      <c r="E62" s="30" t="n">
        <v>8192</v>
      </c>
      <c r="F62" s="31" t="n">
        <v>1</v>
      </c>
      <c r="G62" s="32" t="inlineStr">
        <is>
          <t>Yes</t>
        </is>
      </c>
      <c r="H62" s="31" t="inlineStr">
        <is>
          <t>FP8</t>
        </is>
      </c>
      <c r="I62" s="33" t="n">
        <v>94.40000000000001</v>
      </c>
      <c r="J62" s="31" t="inlineStr">
        <is>
          <t>Supported</t>
        </is>
      </c>
    </row>
    <row r="63">
      <c r="A63" s="4" t="inlineStr">
        <is>
          <t>qwen3.8-27b</t>
        </is>
      </c>
      <c r="B63" s="4" t="inlineStr">
        <is>
          <t>NVIDIA DGX Spark</t>
        </is>
      </c>
      <c r="C63" s="25" t="n">
        <v>128</v>
      </c>
      <c r="D63" s="26" t="inlineStr">
        <is>
          <t>Interactive</t>
        </is>
      </c>
      <c r="E63" s="25" t="n">
        <v>32768</v>
      </c>
      <c r="F63" s="26" t="n">
        <v>1</v>
      </c>
      <c r="G63" s="27" t="inlineStr">
        <is>
          <t>Yes</t>
        </is>
      </c>
      <c r="H63" s="26" t="inlineStr">
        <is>
          <t>FP8</t>
        </is>
      </c>
      <c r="I63" s="28" t="n">
        <v>89.40000000000001</v>
      </c>
      <c r="J63" s="26" t="inlineStr">
        <is>
          <t>Supported</t>
        </is>
      </c>
    </row>
    <row r="64">
      <c r="A64" s="29" t="inlineStr">
        <is>
          <t>qwen3.8-27b</t>
        </is>
      </c>
      <c r="B64" s="29" t="inlineStr">
        <is>
          <t>NVIDIA DGX Spark</t>
        </is>
      </c>
      <c r="C64" s="30" t="n">
        <v>128</v>
      </c>
      <c r="D64" s="31" t="inlineStr">
        <is>
          <t>High Throughput</t>
        </is>
      </c>
      <c r="E64" s="30" t="n">
        <v>65536</v>
      </c>
      <c r="F64" s="31" t="n">
        <v>4</v>
      </c>
      <c r="G64" s="32" t="inlineStr">
        <is>
          <t>Yes</t>
        </is>
      </c>
      <c r="H64" s="31" t="inlineStr">
        <is>
          <t>FP8</t>
        </is>
      </c>
      <c r="I64" s="33" t="n">
        <v>59.4</v>
      </c>
      <c r="J64" s="31" t="inlineStr">
        <is>
          <t>Supported</t>
        </is>
      </c>
    </row>
    <row r="65">
      <c r="A65" s="4" t="inlineStr">
        <is>
          <t>qwen3.8-27b</t>
        </is>
      </c>
      <c r="B65" s="4" t="inlineStr">
        <is>
          <t>Dual DGX Spark Cluster</t>
        </is>
      </c>
      <c r="C65" s="25" t="n">
        <v>256</v>
      </c>
      <c r="D65" s="26" t="inlineStr">
        <is>
          <t>Minimum Viable</t>
        </is>
      </c>
      <c r="E65" s="25" t="n">
        <v>8192</v>
      </c>
      <c r="F65" s="26" t="n">
        <v>1</v>
      </c>
      <c r="G65" s="27" t="inlineStr">
        <is>
          <t>Yes</t>
        </is>
      </c>
      <c r="H65" s="26" t="inlineStr">
        <is>
          <t>FP8</t>
        </is>
      </c>
      <c r="I65" s="28" t="n">
        <v>222.4</v>
      </c>
      <c r="J65" s="26" t="inlineStr">
        <is>
          <t>Supported</t>
        </is>
      </c>
    </row>
    <row r="66">
      <c r="A66" s="29" t="inlineStr">
        <is>
          <t>qwen3.8-27b</t>
        </is>
      </c>
      <c r="B66" s="29" t="inlineStr">
        <is>
          <t>Dual DGX Spark Cluster</t>
        </is>
      </c>
      <c r="C66" s="30" t="n">
        <v>256</v>
      </c>
      <c r="D66" s="31" t="inlineStr">
        <is>
          <t>Interactive</t>
        </is>
      </c>
      <c r="E66" s="30" t="n">
        <v>32768</v>
      </c>
      <c r="F66" s="31" t="n">
        <v>1</v>
      </c>
      <c r="G66" s="32" t="inlineStr">
        <is>
          <t>Yes</t>
        </is>
      </c>
      <c r="H66" s="31" t="inlineStr">
        <is>
          <t>FP8</t>
        </is>
      </c>
      <c r="I66" s="33" t="n">
        <v>217.4</v>
      </c>
      <c r="J66" s="31" t="inlineStr">
        <is>
          <t>Supported</t>
        </is>
      </c>
    </row>
    <row r="67">
      <c r="A67" s="4" t="inlineStr">
        <is>
          <t>qwen3.8-27b</t>
        </is>
      </c>
      <c r="B67" s="4" t="inlineStr">
        <is>
          <t>Dual DGX Spark Cluster</t>
        </is>
      </c>
      <c r="C67" s="25" t="n">
        <v>256</v>
      </c>
      <c r="D67" s="26" t="inlineStr">
        <is>
          <t>High Throughput</t>
        </is>
      </c>
      <c r="E67" s="25" t="n">
        <v>65536</v>
      </c>
      <c r="F67" s="26" t="n">
        <v>4</v>
      </c>
      <c r="G67" s="27" t="inlineStr">
        <is>
          <t>Yes</t>
        </is>
      </c>
      <c r="H67" s="26" t="inlineStr">
        <is>
          <t>FP8</t>
        </is>
      </c>
      <c r="I67" s="28" t="n">
        <v>187.4</v>
      </c>
      <c r="J67" s="26" t="inlineStr">
        <is>
          <t>Supported</t>
        </is>
      </c>
    </row>
    <row r="68">
      <c r="A68" s="29" t="inlineStr">
        <is>
          <t>qwen3.8-27b</t>
        </is>
      </c>
      <c r="B68" s="29" t="inlineStr">
        <is>
          <t>Dual Mac Studio M5 Ultra Cluster</t>
        </is>
      </c>
      <c r="C68" s="30" t="n">
        <v>512</v>
      </c>
      <c r="D68" s="31" t="inlineStr">
        <is>
          <t>Minimum Viable</t>
        </is>
      </c>
      <c r="E68" s="30" t="n">
        <v>8192</v>
      </c>
      <c r="F68" s="31" t="n">
        <v>1</v>
      </c>
      <c r="G68" s="32" t="inlineStr">
        <is>
          <t>Yes</t>
        </is>
      </c>
      <c r="H68" s="31" t="inlineStr">
        <is>
          <t>FP8</t>
        </is>
      </c>
      <c r="I68" s="33" t="n">
        <v>478.4</v>
      </c>
      <c r="J68" s="31" t="inlineStr">
        <is>
          <t>Supported</t>
        </is>
      </c>
    </row>
    <row r="69">
      <c r="A69" s="4" t="inlineStr">
        <is>
          <t>qwen3.8-27b</t>
        </is>
      </c>
      <c r="B69" s="4" t="inlineStr">
        <is>
          <t>Dual Mac Studio M5 Ultra Cluster</t>
        </is>
      </c>
      <c r="C69" s="25" t="n">
        <v>512</v>
      </c>
      <c r="D69" s="26" t="inlineStr">
        <is>
          <t>Interactive</t>
        </is>
      </c>
      <c r="E69" s="25" t="n">
        <v>32768</v>
      </c>
      <c r="F69" s="26" t="n">
        <v>1</v>
      </c>
      <c r="G69" s="27" t="inlineStr">
        <is>
          <t>Yes</t>
        </is>
      </c>
      <c r="H69" s="26" t="inlineStr">
        <is>
          <t>FP8</t>
        </is>
      </c>
      <c r="I69" s="28" t="n">
        <v>473.4</v>
      </c>
      <c r="J69" s="26" t="inlineStr">
        <is>
          <t>Supported</t>
        </is>
      </c>
    </row>
    <row r="70">
      <c r="A70" s="29" t="inlineStr">
        <is>
          <t>qwen3.8-27b</t>
        </is>
      </c>
      <c r="B70" s="29" t="inlineStr">
        <is>
          <t>Dual Mac Studio M5 Ultra Cluster</t>
        </is>
      </c>
      <c r="C70" s="30" t="n">
        <v>512</v>
      </c>
      <c r="D70" s="31" t="inlineStr">
        <is>
          <t>High Throughput</t>
        </is>
      </c>
      <c r="E70" s="30" t="n">
        <v>65536</v>
      </c>
      <c r="F70" s="31" t="n">
        <v>4</v>
      </c>
      <c r="G70" s="32" t="inlineStr">
        <is>
          <t>Yes</t>
        </is>
      </c>
      <c r="H70" s="31" t="inlineStr">
        <is>
          <t>FP8</t>
        </is>
      </c>
      <c r="I70" s="33" t="n">
        <v>443.4</v>
      </c>
      <c r="J70" s="31" t="inlineStr">
        <is>
          <t>Supported</t>
        </is>
      </c>
    </row>
    <row r="71">
      <c r="A71" s="4" t="inlineStr">
        <is>
          <t>qwen3.8-27b</t>
        </is>
      </c>
      <c r="B71" s="4" t="inlineStr">
        <is>
          <t>4x RTX PRO 6000 Blackwell Server</t>
        </is>
      </c>
      <c r="C71" s="25" t="n">
        <v>384</v>
      </c>
      <c r="D71" s="26" t="inlineStr">
        <is>
          <t>Minimum Viable</t>
        </is>
      </c>
      <c r="E71" s="25" t="n">
        <v>8192</v>
      </c>
      <c r="F71" s="26" t="n">
        <v>1</v>
      </c>
      <c r="G71" s="27" t="inlineStr">
        <is>
          <t>Yes</t>
        </is>
      </c>
      <c r="H71" s="26" t="inlineStr">
        <is>
          <t>FP8</t>
        </is>
      </c>
      <c r="I71" s="28" t="n">
        <v>350.4</v>
      </c>
      <c r="J71" s="26" t="inlineStr">
        <is>
          <t>Supported</t>
        </is>
      </c>
    </row>
    <row r="72">
      <c r="A72" s="29" t="inlineStr">
        <is>
          <t>qwen3.8-27b</t>
        </is>
      </c>
      <c r="B72" s="29" t="inlineStr">
        <is>
          <t>4x RTX PRO 6000 Blackwell Server</t>
        </is>
      </c>
      <c r="C72" s="30" t="n">
        <v>384</v>
      </c>
      <c r="D72" s="31" t="inlineStr">
        <is>
          <t>Interactive</t>
        </is>
      </c>
      <c r="E72" s="30" t="n">
        <v>32768</v>
      </c>
      <c r="F72" s="31" t="n">
        <v>1</v>
      </c>
      <c r="G72" s="32" t="inlineStr">
        <is>
          <t>Yes</t>
        </is>
      </c>
      <c r="H72" s="31" t="inlineStr">
        <is>
          <t>FP8</t>
        </is>
      </c>
      <c r="I72" s="33" t="n">
        <v>345.4</v>
      </c>
      <c r="J72" s="31" t="inlineStr">
        <is>
          <t>Supported</t>
        </is>
      </c>
    </row>
    <row r="73">
      <c r="A73" s="4" t="inlineStr">
        <is>
          <t>qwen3.8-27b</t>
        </is>
      </c>
      <c r="B73" s="4" t="inlineStr">
        <is>
          <t>4x RTX PRO 6000 Blackwell Server</t>
        </is>
      </c>
      <c r="C73" s="25" t="n">
        <v>384</v>
      </c>
      <c r="D73" s="26" t="inlineStr">
        <is>
          <t>High Throughput</t>
        </is>
      </c>
      <c r="E73" s="25" t="n">
        <v>65536</v>
      </c>
      <c r="F73" s="26" t="n">
        <v>4</v>
      </c>
      <c r="G73" s="27" t="inlineStr">
        <is>
          <t>Yes</t>
        </is>
      </c>
      <c r="H73" s="26" t="inlineStr">
        <is>
          <t>FP8</t>
        </is>
      </c>
      <c r="I73" s="28" t="n">
        <v>315.4</v>
      </c>
      <c r="J73" s="26" t="inlineStr">
        <is>
          <t>Supported</t>
        </is>
      </c>
    </row>
    <row r="74">
      <c r="A74" s="29" t="inlineStr">
        <is>
          <t>qwen3.8-27b</t>
        </is>
      </c>
      <c r="B74" s="29" t="inlineStr">
        <is>
          <t>HGX H200 8-GPU Server</t>
        </is>
      </c>
      <c r="C74" s="30" t="n">
        <v>1128</v>
      </c>
      <c r="D74" s="31" t="inlineStr">
        <is>
          <t>Minimum Viable</t>
        </is>
      </c>
      <c r="E74" s="30" t="n">
        <v>8192</v>
      </c>
      <c r="F74" s="31" t="n">
        <v>1</v>
      </c>
      <c r="G74" s="32" t="inlineStr">
        <is>
          <t>Yes</t>
        </is>
      </c>
      <c r="H74" s="31" t="inlineStr">
        <is>
          <t>FP8</t>
        </is>
      </c>
      <c r="I74" s="33" t="n">
        <v>1094.4</v>
      </c>
      <c r="J74" s="31" t="inlineStr">
        <is>
          <t>Supported</t>
        </is>
      </c>
    </row>
    <row r="75">
      <c r="A75" s="4" t="inlineStr">
        <is>
          <t>qwen3.8-27b</t>
        </is>
      </c>
      <c r="B75" s="4" t="inlineStr">
        <is>
          <t>HGX H200 8-GPU Server</t>
        </is>
      </c>
      <c r="C75" s="25" t="n">
        <v>1128</v>
      </c>
      <c r="D75" s="26" t="inlineStr">
        <is>
          <t>Interactive</t>
        </is>
      </c>
      <c r="E75" s="25" t="n">
        <v>32768</v>
      </c>
      <c r="F75" s="26" t="n">
        <v>1</v>
      </c>
      <c r="G75" s="27" t="inlineStr">
        <is>
          <t>Yes</t>
        </is>
      </c>
      <c r="H75" s="26" t="inlineStr">
        <is>
          <t>FP8</t>
        </is>
      </c>
      <c r="I75" s="28" t="n">
        <v>1089.4</v>
      </c>
      <c r="J75" s="26" t="inlineStr">
        <is>
          <t>Supported</t>
        </is>
      </c>
    </row>
    <row r="76">
      <c r="A76" s="29" t="inlineStr">
        <is>
          <t>qwen3.8-27b</t>
        </is>
      </c>
      <c r="B76" s="29" t="inlineStr">
        <is>
          <t>HGX H200 8-GPU Server</t>
        </is>
      </c>
      <c r="C76" s="30" t="n">
        <v>1128</v>
      </c>
      <c r="D76" s="31" t="inlineStr">
        <is>
          <t>High Throughput</t>
        </is>
      </c>
      <c r="E76" s="30" t="n">
        <v>65536</v>
      </c>
      <c r="F76" s="31" t="n">
        <v>4</v>
      </c>
      <c r="G76" s="32" t="inlineStr">
        <is>
          <t>Yes</t>
        </is>
      </c>
      <c r="H76" s="31" t="inlineStr">
        <is>
          <t>FP8</t>
        </is>
      </c>
      <c r="I76" s="33" t="n">
        <v>1059.4</v>
      </c>
      <c r="J76" s="31" t="inlineStr">
        <is>
          <t>Supported</t>
        </is>
      </c>
    </row>
    <row r="77">
      <c r="A77" s="4" t="inlineStr">
        <is>
          <t>qwen3.6-35b-a3b</t>
        </is>
      </c>
      <c r="B77" s="4" t="inlineStr">
        <is>
          <t>Mac Studio M5 Max</t>
        </is>
      </c>
      <c r="C77" s="25" t="n">
        <v>128</v>
      </c>
      <c r="D77" s="26" t="inlineStr">
        <is>
          <t>Minimum Viable</t>
        </is>
      </c>
      <c r="E77" s="25" t="n">
        <v>8192</v>
      </c>
      <c r="F77" s="26" t="n">
        <v>1</v>
      </c>
      <c r="G77" s="27" t="inlineStr">
        <is>
          <t>Yes</t>
        </is>
      </c>
      <c r="H77" s="26" t="inlineStr">
        <is>
          <t>FP8</t>
        </is>
      </c>
      <c r="I77" s="28" t="n">
        <v>86.90000000000001</v>
      </c>
      <c r="J77" s="26" t="inlineStr">
        <is>
          <t>Supported</t>
        </is>
      </c>
    </row>
    <row r="78">
      <c r="A78" s="29" t="inlineStr">
        <is>
          <t>qwen3.6-35b-a3b</t>
        </is>
      </c>
      <c r="B78" s="29" t="inlineStr">
        <is>
          <t>Mac Studio M5 Max</t>
        </is>
      </c>
      <c r="C78" s="30" t="n">
        <v>128</v>
      </c>
      <c r="D78" s="31" t="inlineStr">
        <is>
          <t>Interactive</t>
        </is>
      </c>
      <c r="E78" s="30" t="n">
        <v>32768</v>
      </c>
      <c r="F78" s="31" t="n">
        <v>1</v>
      </c>
      <c r="G78" s="32" t="inlineStr">
        <is>
          <t>Yes</t>
        </is>
      </c>
      <c r="H78" s="31" t="inlineStr">
        <is>
          <t>FP8</t>
        </is>
      </c>
      <c r="I78" s="33" t="n">
        <v>83.8</v>
      </c>
      <c r="J78" s="31" t="inlineStr">
        <is>
          <t>Supported</t>
        </is>
      </c>
    </row>
    <row r="79">
      <c r="A79" s="4" t="inlineStr">
        <is>
          <t>qwen3.6-35b-a3b</t>
        </is>
      </c>
      <c r="B79" s="4" t="inlineStr">
        <is>
          <t>Mac Studio M5 Max</t>
        </is>
      </c>
      <c r="C79" s="25" t="n">
        <v>128</v>
      </c>
      <c r="D79" s="26" t="inlineStr">
        <is>
          <t>High Throughput</t>
        </is>
      </c>
      <c r="E79" s="25" t="n">
        <v>65536</v>
      </c>
      <c r="F79" s="26" t="n">
        <v>4</v>
      </c>
      <c r="G79" s="27" t="inlineStr">
        <is>
          <t>Yes</t>
        </is>
      </c>
      <c r="H79" s="26" t="inlineStr">
        <is>
          <t>FP8</t>
        </is>
      </c>
      <c r="I79" s="28" t="n">
        <v>71.2</v>
      </c>
      <c r="J79" s="26" t="inlineStr">
        <is>
          <t>Supported</t>
        </is>
      </c>
    </row>
    <row r="80">
      <c r="A80" s="29" t="inlineStr">
        <is>
          <t>qwen3.6-35b-a3b</t>
        </is>
      </c>
      <c r="B80" s="29" t="inlineStr">
        <is>
          <t>Mac Studio M5 Ultra</t>
        </is>
      </c>
      <c r="C80" s="30" t="n">
        <v>256</v>
      </c>
      <c r="D80" s="31" t="inlineStr">
        <is>
          <t>Minimum Viable</t>
        </is>
      </c>
      <c r="E80" s="30" t="n">
        <v>8192</v>
      </c>
      <c r="F80" s="31" t="n">
        <v>1</v>
      </c>
      <c r="G80" s="32" t="inlineStr">
        <is>
          <t>Yes</t>
        </is>
      </c>
      <c r="H80" s="31" t="inlineStr">
        <is>
          <t>FP8</t>
        </is>
      </c>
      <c r="I80" s="33" t="n">
        <v>214.9</v>
      </c>
      <c r="J80" s="31" t="inlineStr">
        <is>
          <t>Supported</t>
        </is>
      </c>
    </row>
    <row r="81">
      <c r="A81" s="4" t="inlineStr">
        <is>
          <t>qwen3.6-35b-a3b</t>
        </is>
      </c>
      <c r="B81" s="4" t="inlineStr">
        <is>
          <t>Mac Studio M5 Ultra</t>
        </is>
      </c>
      <c r="C81" s="25" t="n">
        <v>256</v>
      </c>
      <c r="D81" s="26" t="inlineStr">
        <is>
          <t>Interactive</t>
        </is>
      </c>
      <c r="E81" s="25" t="n">
        <v>32768</v>
      </c>
      <c r="F81" s="26" t="n">
        <v>1</v>
      </c>
      <c r="G81" s="27" t="inlineStr">
        <is>
          <t>Yes</t>
        </is>
      </c>
      <c r="H81" s="26" t="inlineStr">
        <is>
          <t>FP8</t>
        </is>
      </c>
      <c r="I81" s="28" t="n">
        <v>211.8</v>
      </c>
      <c r="J81" s="26" t="inlineStr">
        <is>
          <t>Supported</t>
        </is>
      </c>
    </row>
    <row r="82">
      <c r="A82" s="29" t="inlineStr">
        <is>
          <t>qwen3.6-35b-a3b</t>
        </is>
      </c>
      <c r="B82" s="29" t="inlineStr">
        <is>
          <t>Mac Studio M5 Ultra</t>
        </is>
      </c>
      <c r="C82" s="30" t="n">
        <v>256</v>
      </c>
      <c r="D82" s="31" t="inlineStr">
        <is>
          <t>High Throughput</t>
        </is>
      </c>
      <c r="E82" s="30" t="n">
        <v>65536</v>
      </c>
      <c r="F82" s="31" t="n">
        <v>4</v>
      </c>
      <c r="G82" s="32" t="inlineStr">
        <is>
          <t>Yes</t>
        </is>
      </c>
      <c r="H82" s="31" t="inlineStr">
        <is>
          <t>FP8</t>
        </is>
      </c>
      <c r="I82" s="33" t="n">
        <v>199.2</v>
      </c>
      <c r="J82" s="31" t="inlineStr">
        <is>
          <t>Supported</t>
        </is>
      </c>
    </row>
    <row r="83">
      <c r="A83" s="4" t="inlineStr">
        <is>
          <t>qwen3.6-35b-a3b</t>
        </is>
      </c>
      <c r="B83" s="4" t="inlineStr">
        <is>
          <t>Mac Studio M5 Ultra (512GB)</t>
        </is>
      </c>
      <c r="C83" s="25" t="n">
        <v>512</v>
      </c>
      <c r="D83" s="26" t="inlineStr">
        <is>
          <t>Minimum Viable</t>
        </is>
      </c>
      <c r="E83" s="25" t="n">
        <v>8192</v>
      </c>
      <c r="F83" s="26" t="n">
        <v>1</v>
      </c>
      <c r="G83" s="27" t="inlineStr">
        <is>
          <t>Yes</t>
        </is>
      </c>
      <c r="H83" s="26" t="inlineStr">
        <is>
          <t>FP8</t>
        </is>
      </c>
      <c r="I83" s="28" t="n">
        <v>470.9</v>
      </c>
      <c r="J83" s="26" t="inlineStr">
        <is>
          <t>Supported</t>
        </is>
      </c>
    </row>
    <row r="84">
      <c r="A84" s="29" t="inlineStr">
        <is>
          <t>qwen3.6-35b-a3b</t>
        </is>
      </c>
      <c r="B84" s="29" t="inlineStr">
        <is>
          <t>Mac Studio M5 Ultra (512GB)</t>
        </is>
      </c>
      <c r="C84" s="30" t="n">
        <v>512</v>
      </c>
      <c r="D84" s="31" t="inlineStr">
        <is>
          <t>Interactive</t>
        </is>
      </c>
      <c r="E84" s="30" t="n">
        <v>32768</v>
      </c>
      <c r="F84" s="31" t="n">
        <v>1</v>
      </c>
      <c r="G84" s="32" t="inlineStr">
        <is>
          <t>Yes</t>
        </is>
      </c>
      <c r="H84" s="31" t="inlineStr">
        <is>
          <t>FP8</t>
        </is>
      </c>
      <c r="I84" s="33" t="n">
        <v>467.8</v>
      </c>
      <c r="J84" s="31" t="inlineStr">
        <is>
          <t>Supported</t>
        </is>
      </c>
    </row>
    <row r="85">
      <c r="A85" s="4" t="inlineStr">
        <is>
          <t>qwen3.6-35b-a3b</t>
        </is>
      </c>
      <c r="B85" s="4" t="inlineStr">
        <is>
          <t>Mac Studio M5 Ultra (512GB)</t>
        </is>
      </c>
      <c r="C85" s="25" t="n">
        <v>512</v>
      </c>
      <c r="D85" s="26" t="inlineStr">
        <is>
          <t>High Throughput</t>
        </is>
      </c>
      <c r="E85" s="25" t="n">
        <v>65536</v>
      </c>
      <c r="F85" s="26" t="n">
        <v>4</v>
      </c>
      <c r="G85" s="27" t="inlineStr">
        <is>
          <t>Yes</t>
        </is>
      </c>
      <c r="H85" s="26" t="inlineStr">
        <is>
          <t>FP8</t>
        </is>
      </c>
      <c r="I85" s="28" t="n">
        <v>455.2</v>
      </c>
      <c r="J85" s="26" t="inlineStr">
        <is>
          <t>Supported</t>
        </is>
      </c>
    </row>
    <row r="86">
      <c r="A86" s="29" t="inlineStr">
        <is>
          <t>qwen3.6-35b-a3b</t>
        </is>
      </c>
      <c r="B86" s="29" t="inlineStr">
        <is>
          <t>NVIDIA DGX Spark</t>
        </is>
      </c>
      <c r="C86" s="30" t="n">
        <v>128</v>
      </c>
      <c r="D86" s="31" t="inlineStr">
        <is>
          <t>Minimum Viable</t>
        </is>
      </c>
      <c r="E86" s="30" t="n">
        <v>8192</v>
      </c>
      <c r="F86" s="31" t="n">
        <v>1</v>
      </c>
      <c r="G86" s="32" t="inlineStr">
        <is>
          <t>Yes</t>
        </is>
      </c>
      <c r="H86" s="31" t="inlineStr">
        <is>
          <t>FP8</t>
        </is>
      </c>
      <c r="I86" s="33" t="n">
        <v>86.90000000000001</v>
      </c>
      <c r="J86" s="31" t="inlineStr">
        <is>
          <t>Supported</t>
        </is>
      </c>
    </row>
    <row r="87">
      <c r="A87" s="4" t="inlineStr">
        <is>
          <t>qwen3.6-35b-a3b</t>
        </is>
      </c>
      <c r="B87" s="4" t="inlineStr">
        <is>
          <t>NVIDIA DGX Spark</t>
        </is>
      </c>
      <c r="C87" s="25" t="n">
        <v>128</v>
      </c>
      <c r="D87" s="26" t="inlineStr">
        <is>
          <t>Interactive</t>
        </is>
      </c>
      <c r="E87" s="25" t="n">
        <v>32768</v>
      </c>
      <c r="F87" s="26" t="n">
        <v>1</v>
      </c>
      <c r="G87" s="27" t="inlineStr">
        <is>
          <t>Yes</t>
        </is>
      </c>
      <c r="H87" s="26" t="inlineStr">
        <is>
          <t>FP8</t>
        </is>
      </c>
      <c r="I87" s="28" t="n">
        <v>83.8</v>
      </c>
      <c r="J87" s="26" t="inlineStr">
        <is>
          <t>Supported</t>
        </is>
      </c>
    </row>
    <row r="88">
      <c r="A88" s="29" t="inlineStr">
        <is>
          <t>qwen3.6-35b-a3b</t>
        </is>
      </c>
      <c r="B88" s="29" t="inlineStr">
        <is>
          <t>NVIDIA DGX Spark</t>
        </is>
      </c>
      <c r="C88" s="30" t="n">
        <v>128</v>
      </c>
      <c r="D88" s="31" t="inlineStr">
        <is>
          <t>High Throughput</t>
        </is>
      </c>
      <c r="E88" s="30" t="n">
        <v>65536</v>
      </c>
      <c r="F88" s="31" t="n">
        <v>4</v>
      </c>
      <c r="G88" s="32" t="inlineStr">
        <is>
          <t>Yes</t>
        </is>
      </c>
      <c r="H88" s="31" t="inlineStr">
        <is>
          <t>FP8</t>
        </is>
      </c>
      <c r="I88" s="33" t="n">
        <v>71.2</v>
      </c>
      <c r="J88" s="31" t="inlineStr">
        <is>
          <t>Supported</t>
        </is>
      </c>
    </row>
    <row r="89">
      <c r="A89" s="4" t="inlineStr">
        <is>
          <t>qwen3.6-35b-a3b</t>
        </is>
      </c>
      <c r="B89" s="4" t="inlineStr">
        <is>
          <t>Dual DGX Spark Cluster</t>
        </is>
      </c>
      <c r="C89" s="25" t="n">
        <v>256</v>
      </c>
      <c r="D89" s="26" t="inlineStr">
        <is>
          <t>Minimum Viable</t>
        </is>
      </c>
      <c r="E89" s="25" t="n">
        <v>8192</v>
      </c>
      <c r="F89" s="26" t="n">
        <v>1</v>
      </c>
      <c r="G89" s="27" t="inlineStr">
        <is>
          <t>Yes</t>
        </is>
      </c>
      <c r="H89" s="26" t="inlineStr">
        <is>
          <t>FP8</t>
        </is>
      </c>
      <c r="I89" s="28" t="n">
        <v>214.9</v>
      </c>
      <c r="J89" s="26" t="inlineStr">
        <is>
          <t>Supported</t>
        </is>
      </c>
    </row>
    <row r="90">
      <c r="A90" s="29" t="inlineStr">
        <is>
          <t>qwen3.6-35b-a3b</t>
        </is>
      </c>
      <c r="B90" s="29" t="inlineStr">
        <is>
          <t>Dual DGX Spark Cluster</t>
        </is>
      </c>
      <c r="C90" s="30" t="n">
        <v>256</v>
      </c>
      <c r="D90" s="31" t="inlineStr">
        <is>
          <t>Interactive</t>
        </is>
      </c>
      <c r="E90" s="30" t="n">
        <v>32768</v>
      </c>
      <c r="F90" s="31" t="n">
        <v>1</v>
      </c>
      <c r="G90" s="32" t="inlineStr">
        <is>
          <t>Yes</t>
        </is>
      </c>
      <c r="H90" s="31" t="inlineStr">
        <is>
          <t>FP8</t>
        </is>
      </c>
      <c r="I90" s="33" t="n">
        <v>211.8</v>
      </c>
      <c r="J90" s="31" t="inlineStr">
        <is>
          <t>Supported</t>
        </is>
      </c>
    </row>
    <row r="91">
      <c r="A91" s="4" t="inlineStr">
        <is>
          <t>qwen3.6-35b-a3b</t>
        </is>
      </c>
      <c r="B91" s="4" t="inlineStr">
        <is>
          <t>Dual DGX Spark Cluster</t>
        </is>
      </c>
      <c r="C91" s="25" t="n">
        <v>256</v>
      </c>
      <c r="D91" s="26" t="inlineStr">
        <is>
          <t>High Throughput</t>
        </is>
      </c>
      <c r="E91" s="25" t="n">
        <v>65536</v>
      </c>
      <c r="F91" s="26" t="n">
        <v>4</v>
      </c>
      <c r="G91" s="27" t="inlineStr">
        <is>
          <t>Yes</t>
        </is>
      </c>
      <c r="H91" s="26" t="inlineStr">
        <is>
          <t>FP8</t>
        </is>
      </c>
      <c r="I91" s="28" t="n">
        <v>199.2</v>
      </c>
      <c r="J91" s="26" t="inlineStr">
        <is>
          <t>Supported</t>
        </is>
      </c>
    </row>
    <row r="92">
      <c r="A92" s="29" t="inlineStr">
        <is>
          <t>qwen3.6-35b-a3b</t>
        </is>
      </c>
      <c r="B92" s="29" t="inlineStr">
        <is>
          <t>Dual Mac Studio M5 Ultra Cluster</t>
        </is>
      </c>
      <c r="C92" s="30" t="n">
        <v>512</v>
      </c>
      <c r="D92" s="31" t="inlineStr">
        <is>
          <t>Minimum Viable</t>
        </is>
      </c>
      <c r="E92" s="30" t="n">
        <v>8192</v>
      </c>
      <c r="F92" s="31" t="n">
        <v>1</v>
      </c>
      <c r="G92" s="32" t="inlineStr">
        <is>
          <t>Yes</t>
        </is>
      </c>
      <c r="H92" s="31" t="inlineStr">
        <is>
          <t>FP8</t>
        </is>
      </c>
      <c r="I92" s="33" t="n">
        <v>470.9</v>
      </c>
      <c r="J92" s="31" t="inlineStr">
        <is>
          <t>Supported</t>
        </is>
      </c>
    </row>
    <row r="93">
      <c r="A93" s="4" t="inlineStr">
        <is>
          <t>qwen3.6-35b-a3b</t>
        </is>
      </c>
      <c r="B93" s="4" t="inlineStr">
        <is>
          <t>Dual Mac Studio M5 Ultra Cluster</t>
        </is>
      </c>
      <c r="C93" s="25" t="n">
        <v>512</v>
      </c>
      <c r="D93" s="26" t="inlineStr">
        <is>
          <t>Interactive</t>
        </is>
      </c>
      <c r="E93" s="25" t="n">
        <v>32768</v>
      </c>
      <c r="F93" s="26" t="n">
        <v>1</v>
      </c>
      <c r="G93" s="27" t="inlineStr">
        <is>
          <t>Yes</t>
        </is>
      </c>
      <c r="H93" s="26" t="inlineStr">
        <is>
          <t>FP8</t>
        </is>
      </c>
      <c r="I93" s="28" t="n">
        <v>467.8</v>
      </c>
      <c r="J93" s="26" t="inlineStr">
        <is>
          <t>Supported</t>
        </is>
      </c>
    </row>
    <row r="94">
      <c r="A94" s="29" t="inlineStr">
        <is>
          <t>qwen3.6-35b-a3b</t>
        </is>
      </c>
      <c r="B94" s="29" t="inlineStr">
        <is>
          <t>Dual Mac Studio M5 Ultra Cluster</t>
        </is>
      </c>
      <c r="C94" s="30" t="n">
        <v>512</v>
      </c>
      <c r="D94" s="31" t="inlineStr">
        <is>
          <t>High Throughput</t>
        </is>
      </c>
      <c r="E94" s="30" t="n">
        <v>65536</v>
      </c>
      <c r="F94" s="31" t="n">
        <v>4</v>
      </c>
      <c r="G94" s="32" t="inlineStr">
        <is>
          <t>Yes</t>
        </is>
      </c>
      <c r="H94" s="31" t="inlineStr">
        <is>
          <t>FP8</t>
        </is>
      </c>
      <c r="I94" s="33" t="n">
        <v>455.2</v>
      </c>
      <c r="J94" s="31" t="inlineStr">
        <is>
          <t>Supported</t>
        </is>
      </c>
    </row>
    <row r="95">
      <c r="A95" s="4" t="inlineStr">
        <is>
          <t>qwen3.6-35b-a3b</t>
        </is>
      </c>
      <c r="B95" s="4" t="inlineStr">
        <is>
          <t>4x RTX PRO 6000 Blackwell Server</t>
        </is>
      </c>
      <c r="C95" s="25" t="n">
        <v>384</v>
      </c>
      <c r="D95" s="26" t="inlineStr">
        <is>
          <t>Minimum Viable</t>
        </is>
      </c>
      <c r="E95" s="25" t="n">
        <v>8192</v>
      </c>
      <c r="F95" s="26" t="n">
        <v>1</v>
      </c>
      <c r="G95" s="27" t="inlineStr">
        <is>
          <t>Yes</t>
        </is>
      </c>
      <c r="H95" s="26" t="inlineStr">
        <is>
          <t>FP8</t>
        </is>
      </c>
      <c r="I95" s="28" t="n">
        <v>342.9</v>
      </c>
      <c r="J95" s="26" t="inlineStr">
        <is>
          <t>Supported</t>
        </is>
      </c>
    </row>
    <row r="96">
      <c r="A96" s="29" t="inlineStr">
        <is>
          <t>qwen3.6-35b-a3b</t>
        </is>
      </c>
      <c r="B96" s="29" t="inlineStr">
        <is>
          <t>4x RTX PRO 6000 Blackwell Server</t>
        </is>
      </c>
      <c r="C96" s="30" t="n">
        <v>384</v>
      </c>
      <c r="D96" s="31" t="inlineStr">
        <is>
          <t>Interactive</t>
        </is>
      </c>
      <c r="E96" s="30" t="n">
        <v>32768</v>
      </c>
      <c r="F96" s="31" t="n">
        <v>1</v>
      </c>
      <c r="G96" s="32" t="inlineStr">
        <is>
          <t>Yes</t>
        </is>
      </c>
      <c r="H96" s="31" t="inlineStr">
        <is>
          <t>FP8</t>
        </is>
      </c>
      <c r="I96" s="33" t="n">
        <v>339.8</v>
      </c>
      <c r="J96" s="31" t="inlineStr">
        <is>
          <t>Supported</t>
        </is>
      </c>
    </row>
    <row r="97">
      <c r="A97" s="4" t="inlineStr">
        <is>
          <t>qwen3.6-35b-a3b</t>
        </is>
      </c>
      <c r="B97" s="4" t="inlineStr">
        <is>
          <t>4x RTX PRO 6000 Blackwell Server</t>
        </is>
      </c>
      <c r="C97" s="25" t="n">
        <v>384</v>
      </c>
      <c r="D97" s="26" t="inlineStr">
        <is>
          <t>High Throughput</t>
        </is>
      </c>
      <c r="E97" s="25" t="n">
        <v>65536</v>
      </c>
      <c r="F97" s="26" t="n">
        <v>4</v>
      </c>
      <c r="G97" s="27" t="inlineStr">
        <is>
          <t>Yes</t>
        </is>
      </c>
      <c r="H97" s="26" t="inlineStr">
        <is>
          <t>FP8</t>
        </is>
      </c>
      <c r="I97" s="28" t="n">
        <v>327.2</v>
      </c>
      <c r="J97" s="26" t="inlineStr">
        <is>
          <t>Supported</t>
        </is>
      </c>
    </row>
    <row r="98">
      <c r="A98" s="29" t="inlineStr">
        <is>
          <t>qwen3.6-35b-a3b</t>
        </is>
      </c>
      <c r="B98" s="29" t="inlineStr">
        <is>
          <t>HGX H200 8-GPU Server</t>
        </is>
      </c>
      <c r="C98" s="30" t="n">
        <v>1128</v>
      </c>
      <c r="D98" s="31" t="inlineStr">
        <is>
          <t>Minimum Viable</t>
        </is>
      </c>
      <c r="E98" s="30" t="n">
        <v>8192</v>
      </c>
      <c r="F98" s="31" t="n">
        <v>1</v>
      </c>
      <c r="G98" s="32" t="inlineStr">
        <is>
          <t>Yes</t>
        </is>
      </c>
      <c r="H98" s="31" t="inlineStr">
        <is>
          <t>FP8</t>
        </is>
      </c>
      <c r="I98" s="33" t="n">
        <v>1086.9</v>
      </c>
      <c r="J98" s="31" t="inlineStr">
        <is>
          <t>Supported</t>
        </is>
      </c>
    </row>
    <row r="99">
      <c r="A99" s="4" t="inlineStr">
        <is>
          <t>qwen3.6-35b-a3b</t>
        </is>
      </c>
      <c r="B99" s="4" t="inlineStr">
        <is>
          <t>HGX H200 8-GPU Server</t>
        </is>
      </c>
      <c r="C99" s="25" t="n">
        <v>1128</v>
      </c>
      <c r="D99" s="26" t="inlineStr">
        <is>
          <t>Interactive</t>
        </is>
      </c>
      <c r="E99" s="25" t="n">
        <v>32768</v>
      </c>
      <c r="F99" s="26" t="n">
        <v>1</v>
      </c>
      <c r="G99" s="27" t="inlineStr">
        <is>
          <t>Yes</t>
        </is>
      </c>
      <c r="H99" s="26" t="inlineStr">
        <is>
          <t>FP8</t>
        </is>
      </c>
      <c r="I99" s="28" t="n">
        <v>1083.8</v>
      </c>
      <c r="J99" s="26" t="inlineStr">
        <is>
          <t>Supported</t>
        </is>
      </c>
    </row>
    <row r="100">
      <c r="A100" s="29" t="inlineStr">
        <is>
          <t>qwen3.6-35b-a3b</t>
        </is>
      </c>
      <c r="B100" s="29" t="inlineStr">
        <is>
          <t>HGX H200 8-GPU Server</t>
        </is>
      </c>
      <c r="C100" s="30" t="n">
        <v>1128</v>
      </c>
      <c r="D100" s="31" t="inlineStr">
        <is>
          <t>High Throughput</t>
        </is>
      </c>
      <c r="E100" s="30" t="n">
        <v>65536</v>
      </c>
      <c r="F100" s="31" t="n">
        <v>4</v>
      </c>
      <c r="G100" s="32" t="inlineStr">
        <is>
          <t>Yes</t>
        </is>
      </c>
      <c r="H100" s="31" t="inlineStr">
        <is>
          <t>FP8</t>
        </is>
      </c>
      <c r="I100" s="33" t="n">
        <v>1071.2</v>
      </c>
      <c r="J100" s="31" t="inlineStr">
        <is>
          <t>Supported</t>
        </is>
      </c>
    </row>
    <row r="101">
      <c r="A101" s="4" t="inlineStr">
        <is>
          <t>qwen3.5-397b-a17b</t>
        </is>
      </c>
      <c r="B101" s="4" t="inlineStr">
        <is>
          <t>Mac Studio M5 Max</t>
        </is>
      </c>
      <c r="C101" s="25" t="n">
        <v>128</v>
      </c>
      <c r="D101" s="26" t="inlineStr">
        <is>
          <t>Minimum Viable</t>
        </is>
      </c>
      <c r="E101" s="25" t="n">
        <v>8192</v>
      </c>
      <c r="F101" s="26" t="n">
        <v>1</v>
      </c>
      <c r="G101" s="34" t="inlineStr">
        <is>
          <t>No</t>
        </is>
      </c>
      <c r="H101" s="26" t="inlineStr">
        <is>
          <t>Does not fit</t>
        </is>
      </c>
      <c r="I101" s="28" t="n">
        <v>-49</v>
      </c>
      <c r="J101" s="26" t="inlineStr">
        <is>
          <t>Insufficient VRAM</t>
        </is>
      </c>
    </row>
    <row r="102">
      <c r="A102" s="29" t="inlineStr">
        <is>
          <t>qwen3.5-397b-a17b</t>
        </is>
      </c>
      <c r="B102" s="29" t="inlineStr">
        <is>
          <t>Mac Studio M5 Max</t>
        </is>
      </c>
      <c r="C102" s="30" t="n">
        <v>128</v>
      </c>
      <c r="D102" s="31" t="inlineStr">
        <is>
          <t>Interactive</t>
        </is>
      </c>
      <c r="E102" s="30" t="n">
        <v>32768</v>
      </c>
      <c r="F102" s="31" t="n">
        <v>1</v>
      </c>
      <c r="G102" s="35" t="inlineStr">
        <is>
          <t>No</t>
        </is>
      </c>
      <c r="H102" s="31" t="inlineStr">
        <is>
          <t>Does not fit</t>
        </is>
      </c>
      <c r="I102" s="33" t="n">
        <v>-54</v>
      </c>
      <c r="J102" s="31" t="inlineStr">
        <is>
          <t>Insufficient VRAM</t>
        </is>
      </c>
    </row>
    <row r="103">
      <c r="A103" s="4" t="inlineStr">
        <is>
          <t>qwen3.5-397b-a17b</t>
        </is>
      </c>
      <c r="B103" s="4" t="inlineStr">
        <is>
          <t>Mac Studio M5 Max</t>
        </is>
      </c>
      <c r="C103" s="25" t="n">
        <v>128</v>
      </c>
      <c r="D103" s="26" t="inlineStr">
        <is>
          <t>High Throughput</t>
        </is>
      </c>
      <c r="E103" s="25" t="n">
        <v>65536</v>
      </c>
      <c r="F103" s="26" t="n">
        <v>4</v>
      </c>
      <c r="G103" s="34" t="inlineStr">
        <is>
          <t>No</t>
        </is>
      </c>
      <c r="H103" s="26" t="inlineStr">
        <is>
          <t>Does not fit</t>
        </is>
      </c>
      <c r="I103" s="28" t="n">
        <v>-84</v>
      </c>
      <c r="J103" s="26" t="inlineStr">
        <is>
          <t>Insufficient VRAM</t>
        </is>
      </c>
    </row>
    <row r="104">
      <c r="A104" s="29" t="inlineStr">
        <is>
          <t>qwen3.5-397b-a17b</t>
        </is>
      </c>
      <c r="B104" s="29" t="inlineStr">
        <is>
          <t>Mac Studio M5 Ultra</t>
        </is>
      </c>
      <c r="C104" s="30" t="n">
        <v>256</v>
      </c>
      <c r="D104" s="31" t="inlineStr">
        <is>
          <t>Minimum Viable</t>
        </is>
      </c>
      <c r="E104" s="30" t="n">
        <v>8192</v>
      </c>
      <c r="F104" s="31" t="n">
        <v>1</v>
      </c>
      <c r="G104" s="32" t="inlineStr">
        <is>
          <t>Yes</t>
        </is>
      </c>
      <c r="H104" s="31" t="inlineStr">
        <is>
          <t>Q4_K_M</t>
        </is>
      </c>
      <c r="I104" s="33" t="n">
        <v>16.5</v>
      </c>
      <c r="J104" s="31" t="inlineStr">
        <is>
          <t>Supported</t>
        </is>
      </c>
    </row>
    <row r="105">
      <c r="A105" s="4" t="inlineStr">
        <is>
          <t>qwen3.5-397b-a17b</t>
        </is>
      </c>
      <c r="B105" s="4" t="inlineStr">
        <is>
          <t>Mac Studio M5 Ultra</t>
        </is>
      </c>
      <c r="C105" s="25" t="n">
        <v>256</v>
      </c>
      <c r="D105" s="26" t="inlineStr">
        <is>
          <t>Interactive</t>
        </is>
      </c>
      <c r="E105" s="25" t="n">
        <v>32768</v>
      </c>
      <c r="F105" s="26" t="n">
        <v>1</v>
      </c>
      <c r="G105" s="27" t="inlineStr">
        <is>
          <t>Yes</t>
        </is>
      </c>
      <c r="H105" s="26" t="inlineStr">
        <is>
          <t>Q4_K_M</t>
        </is>
      </c>
      <c r="I105" s="28" t="n">
        <v>11.5</v>
      </c>
      <c r="J105" s="26" t="inlineStr">
        <is>
          <t>Supported</t>
        </is>
      </c>
    </row>
    <row r="106">
      <c r="A106" s="29" t="inlineStr">
        <is>
          <t>qwen3.5-397b-a17b</t>
        </is>
      </c>
      <c r="B106" s="29" t="inlineStr">
        <is>
          <t>Mac Studio M5 Ultra</t>
        </is>
      </c>
      <c r="C106" s="30" t="n">
        <v>256</v>
      </c>
      <c r="D106" s="31" t="inlineStr">
        <is>
          <t>High Throughput</t>
        </is>
      </c>
      <c r="E106" s="30" t="n">
        <v>65536</v>
      </c>
      <c r="F106" s="31" t="n">
        <v>4</v>
      </c>
      <c r="G106" s="32" t="inlineStr">
        <is>
          <t>Yes</t>
        </is>
      </c>
      <c r="H106" s="31" t="inlineStr">
        <is>
          <t>UD-Q3_K_XL</t>
        </is>
      </c>
      <c r="I106" s="33" t="n">
        <v>44</v>
      </c>
      <c r="J106" s="31" t="inlineStr">
        <is>
          <t>Supported</t>
        </is>
      </c>
    </row>
    <row r="107">
      <c r="A107" s="4" t="inlineStr">
        <is>
          <t>qwen3.5-397b-a17b</t>
        </is>
      </c>
      <c r="B107" s="4" t="inlineStr">
        <is>
          <t>Mac Studio M5 Ultra (512GB)</t>
        </is>
      </c>
      <c r="C107" s="25" t="n">
        <v>512</v>
      </c>
      <c r="D107" s="26" t="inlineStr">
        <is>
          <t>Minimum Viable</t>
        </is>
      </c>
      <c r="E107" s="25" t="n">
        <v>8192</v>
      </c>
      <c r="F107" s="26" t="n">
        <v>1</v>
      </c>
      <c r="G107" s="27" t="inlineStr">
        <is>
          <t>Yes</t>
        </is>
      </c>
      <c r="H107" s="26" t="inlineStr">
        <is>
          <t>FP8</t>
        </is>
      </c>
      <c r="I107" s="28" t="n">
        <v>90.09999999999999</v>
      </c>
      <c r="J107" s="26" t="inlineStr">
        <is>
          <t>Supported</t>
        </is>
      </c>
    </row>
    <row r="108">
      <c r="A108" s="29" t="inlineStr">
        <is>
          <t>qwen3.5-397b-a17b</t>
        </is>
      </c>
      <c r="B108" s="29" t="inlineStr">
        <is>
          <t>Mac Studio M5 Ultra (512GB)</t>
        </is>
      </c>
      <c r="C108" s="30" t="n">
        <v>512</v>
      </c>
      <c r="D108" s="31" t="inlineStr">
        <is>
          <t>Interactive</t>
        </is>
      </c>
      <c r="E108" s="30" t="n">
        <v>32768</v>
      </c>
      <c r="F108" s="31" t="n">
        <v>1</v>
      </c>
      <c r="G108" s="32" t="inlineStr">
        <is>
          <t>Yes</t>
        </is>
      </c>
      <c r="H108" s="31" t="inlineStr">
        <is>
          <t>FP8</t>
        </is>
      </c>
      <c r="I108" s="33" t="n">
        <v>85.09999999999999</v>
      </c>
      <c r="J108" s="31" t="inlineStr">
        <is>
          <t>Supported</t>
        </is>
      </c>
    </row>
    <row r="109">
      <c r="A109" s="4" t="inlineStr">
        <is>
          <t>qwen3.5-397b-a17b</t>
        </is>
      </c>
      <c r="B109" s="4" t="inlineStr">
        <is>
          <t>Mac Studio M5 Ultra (512GB)</t>
        </is>
      </c>
      <c r="C109" s="25" t="n">
        <v>512</v>
      </c>
      <c r="D109" s="26" t="inlineStr">
        <is>
          <t>High Throughput</t>
        </is>
      </c>
      <c r="E109" s="25" t="n">
        <v>65536</v>
      </c>
      <c r="F109" s="26" t="n">
        <v>4</v>
      </c>
      <c r="G109" s="27" t="inlineStr">
        <is>
          <t>Yes</t>
        </is>
      </c>
      <c r="H109" s="26" t="inlineStr">
        <is>
          <t>FP8</t>
        </is>
      </c>
      <c r="I109" s="28" t="n">
        <v>55.1</v>
      </c>
      <c r="J109" s="26" t="inlineStr">
        <is>
          <t>Supported</t>
        </is>
      </c>
    </row>
    <row r="110">
      <c r="A110" s="29" t="inlineStr">
        <is>
          <t>qwen3.5-397b-a17b</t>
        </is>
      </c>
      <c r="B110" s="29" t="inlineStr">
        <is>
          <t>NVIDIA DGX Spark</t>
        </is>
      </c>
      <c r="C110" s="30" t="n">
        <v>128</v>
      </c>
      <c r="D110" s="31" t="inlineStr">
        <is>
          <t>Minimum Viable</t>
        </is>
      </c>
      <c r="E110" s="30" t="n">
        <v>8192</v>
      </c>
      <c r="F110" s="31" t="n">
        <v>1</v>
      </c>
      <c r="G110" s="35" t="inlineStr">
        <is>
          <t>No</t>
        </is>
      </c>
      <c r="H110" s="31" t="inlineStr">
        <is>
          <t>Does not fit</t>
        </is>
      </c>
      <c r="I110" s="33" t="n">
        <v>-49</v>
      </c>
      <c r="J110" s="31" t="inlineStr">
        <is>
          <t>Insufficient VRAM</t>
        </is>
      </c>
    </row>
    <row r="111">
      <c r="A111" s="4" t="inlineStr">
        <is>
          <t>qwen3.5-397b-a17b</t>
        </is>
      </c>
      <c r="B111" s="4" t="inlineStr">
        <is>
          <t>NVIDIA DGX Spark</t>
        </is>
      </c>
      <c r="C111" s="25" t="n">
        <v>128</v>
      </c>
      <c r="D111" s="26" t="inlineStr">
        <is>
          <t>Interactive</t>
        </is>
      </c>
      <c r="E111" s="25" t="n">
        <v>32768</v>
      </c>
      <c r="F111" s="26" t="n">
        <v>1</v>
      </c>
      <c r="G111" s="34" t="inlineStr">
        <is>
          <t>No</t>
        </is>
      </c>
      <c r="H111" s="26" t="inlineStr">
        <is>
          <t>Does not fit</t>
        </is>
      </c>
      <c r="I111" s="28" t="n">
        <v>-54</v>
      </c>
      <c r="J111" s="26" t="inlineStr">
        <is>
          <t>Insufficient VRAM</t>
        </is>
      </c>
    </row>
    <row r="112">
      <c r="A112" s="29" t="inlineStr">
        <is>
          <t>qwen3.5-397b-a17b</t>
        </is>
      </c>
      <c r="B112" s="29" t="inlineStr">
        <is>
          <t>NVIDIA DGX Spark</t>
        </is>
      </c>
      <c r="C112" s="30" t="n">
        <v>128</v>
      </c>
      <c r="D112" s="31" t="inlineStr">
        <is>
          <t>High Throughput</t>
        </is>
      </c>
      <c r="E112" s="30" t="n">
        <v>65536</v>
      </c>
      <c r="F112" s="31" t="n">
        <v>4</v>
      </c>
      <c r="G112" s="35" t="inlineStr">
        <is>
          <t>No</t>
        </is>
      </c>
      <c r="H112" s="31" t="inlineStr">
        <is>
          <t>Does not fit</t>
        </is>
      </c>
      <c r="I112" s="33" t="n">
        <v>-84</v>
      </c>
      <c r="J112" s="31" t="inlineStr">
        <is>
          <t>Insufficient VRAM</t>
        </is>
      </c>
    </row>
    <row r="113">
      <c r="A113" s="4" t="inlineStr">
        <is>
          <t>qwen3.5-397b-a17b</t>
        </is>
      </c>
      <c r="B113" s="4" t="inlineStr">
        <is>
          <t>Dual DGX Spark Cluster</t>
        </is>
      </c>
      <c r="C113" s="25" t="n">
        <v>256</v>
      </c>
      <c r="D113" s="26" t="inlineStr">
        <is>
          <t>Minimum Viable</t>
        </is>
      </c>
      <c r="E113" s="25" t="n">
        <v>8192</v>
      </c>
      <c r="F113" s="26" t="n">
        <v>1</v>
      </c>
      <c r="G113" s="27" t="inlineStr">
        <is>
          <t>Yes</t>
        </is>
      </c>
      <c r="H113" s="26" t="inlineStr">
        <is>
          <t>Q4_K_M</t>
        </is>
      </c>
      <c r="I113" s="28" t="n">
        <v>16.5</v>
      </c>
      <c r="J113" s="26" t="inlineStr">
        <is>
          <t>Supported</t>
        </is>
      </c>
    </row>
    <row r="114">
      <c r="A114" s="29" t="inlineStr">
        <is>
          <t>qwen3.5-397b-a17b</t>
        </is>
      </c>
      <c r="B114" s="29" t="inlineStr">
        <is>
          <t>Dual DGX Spark Cluster</t>
        </is>
      </c>
      <c r="C114" s="30" t="n">
        <v>256</v>
      </c>
      <c r="D114" s="31" t="inlineStr">
        <is>
          <t>Interactive</t>
        </is>
      </c>
      <c r="E114" s="30" t="n">
        <v>32768</v>
      </c>
      <c r="F114" s="31" t="n">
        <v>1</v>
      </c>
      <c r="G114" s="32" t="inlineStr">
        <is>
          <t>Yes</t>
        </is>
      </c>
      <c r="H114" s="31" t="inlineStr">
        <is>
          <t>Q4_K_M</t>
        </is>
      </c>
      <c r="I114" s="33" t="n">
        <v>11.5</v>
      </c>
      <c r="J114" s="31" t="inlineStr">
        <is>
          <t>Supported</t>
        </is>
      </c>
    </row>
    <row r="115">
      <c r="A115" s="4" t="inlineStr">
        <is>
          <t>qwen3.5-397b-a17b</t>
        </is>
      </c>
      <c r="B115" s="4" t="inlineStr">
        <is>
          <t>Dual DGX Spark Cluster</t>
        </is>
      </c>
      <c r="C115" s="25" t="n">
        <v>256</v>
      </c>
      <c r="D115" s="26" t="inlineStr">
        <is>
          <t>High Throughput</t>
        </is>
      </c>
      <c r="E115" s="25" t="n">
        <v>65536</v>
      </c>
      <c r="F115" s="26" t="n">
        <v>4</v>
      </c>
      <c r="G115" s="27" t="inlineStr">
        <is>
          <t>Yes</t>
        </is>
      </c>
      <c r="H115" s="26" t="inlineStr">
        <is>
          <t>UD-Q3_K_XL</t>
        </is>
      </c>
      <c r="I115" s="28" t="n">
        <v>44</v>
      </c>
      <c r="J115" s="26" t="inlineStr">
        <is>
          <t>Supported</t>
        </is>
      </c>
    </row>
    <row r="116">
      <c r="A116" s="29" t="inlineStr">
        <is>
          <t>qwen3.5-397b-a17b</t>
        </is>
      </c>
      <c r="B116" s="29" t="inlineStr">
        <is>
          <t>Dual Mac Studio M5 Ultra Cluster</t>
        </is>
      </c>
      <c r="C116" s="30" t="n">
        <v>512</v>
      </c>
      <c r="D116" s="31" t="inlineStr">
        <is>
          <t>Minimum Viable</t>
        </is>
      </c>
      <c r="E116" s="30" t="n">
        <v>8192</v>
      </c>
      <c r="F116" s="31" t="n">
        <v>1</v>
      </c>
      <c r="G116" s="32" t="inlineStr">
        <is>
          <t>Yes</t>
        </is>
      </c>
      <c r="H116" s="31" t="inlineStr">
        <is>
          <t>FP8</t>
        </is>
      </c>
      <c r="I116" s="33" t="n">
        <v>90.09999999999999</v>
      </c>
      <c r="J116" s="31" t="inlineStr">
        <is>
          <t>Supported</t>
        </is>
      </c>
    </row>
    <row r="117">
      <c r="A117" s="4" t="inlineStr">
        <is>
          <t>qwen3.5-397b-a17b</t>
        </is>
      </c>
      <c r="B117" s="4" t="inlineStr">
        <is>
          <t>Dual Mac Studio M5 Ultra Cluster</t>
        </is>
      </c>
      <c r="C117" s="25" t="n">
        <v>512</v>
      </c>
      <c r="D117" s="26" t="inlineStr">
        <is>
          <t>Interactive</t>
        </is>
      </c>
      <c r="E117" s="25" t="n">
        <v>32768</v>
      </c>
      <c r="F117" s="26" t="n">
        <v>1</v>
      </c>
      <c r="G117" s="27" t="inlineStr">
        <is>
          <t>Yes</t>
        </is>
      </c>
      <c r="H117" s="26" t="inlineStr">
        <is>
          <t>FP8</t>
        </is>
      </c>
      <c r="I117" s="28" t="n">
        <v>85.09999999999999</v>
      </c>
      <c r="J117" s="26" t="inlineStr">
        <is>
          <t>Supported</t>
        </is>
      </c>
    </row>
    <row r="118">
      <c r="A118" s="29" t="inlineStr">
        <is>
          <t>qwen3.5-397b-a17b</t>
        </is>
      </c>
      <c r="B118" s="29" t="inlineStr">
        <is>
          <t>Dual Mac Studio M5 Ultra Cluster</t>
        </is>
      </c>
      <c r="C118" s="30" t="n">
        <v>512</v>
      </c>
      <c r="D118" s="31" t="inlineStr">
        <is>
          <t>High Throughput</t>
        </is>
      </c>
      <c r="E118" s="30" t="n">
        <v>65536</v>
      </c>
      <c r="F118" s="31" t="n">
        <v>4</v>
      </c>
      <c r="G118" s="32" t="inlineStr">
        <is>
          <t>Yes</t>
        </is>
      </c>
      <c r="H118" s="31" t="inlineStr">
        <is>
          <t>FP8</t>
        </is>
      </c>
      <c r="I118" s="33" t="n">
        <v>55.1</v>
      </c>
      <c r="J118" s="31" t="inlineStr">
        <is>
          <t>Supported</t>
        </is>
      </c>
    </row>
    <row r="119">
      <c r="A119" s="4" t="inlineStr">
        <is>
          <t>qwen3.5-397b-a17b</t>
        </is>
      </c>
      <c r="B119" s="4" t="inlineStr">
        <is>
          <t>4x RTX PRO 6000 Blackwell Server</t>
        </is>
      </c>
      <c r="C119" s="25" t="n">
        <v>384</v>
      </c>
      <c r="D119" s="26" t="inlineStr">
        <is>
          <t>Minimum Viable</t>
        </is>
      </c>
      <c r="E119" s="25" t="n">
        <v>8192</v>
      </c>
      <c r="F119" s="26" t="n">
        <v>1</v>
      </c>
      <c r="G119" s="27" t="inlineStr">
        <is>
          <t>Yes</t>
        </is>
      </c>
      <c r="H119" s="26" t="inlineStr">
        <is>
          <t>Q4_K_M</t>
        </is>
      </c>
      <c r="I119" s="28" t="n">
        <v>144.5</v>
      </c>
      <c r="J119" s="26" t="inlineStr">
        <is>
          <t>Supported</t>
        </is>
      </c>
    </row>
    <row r="120">
      <c r="A120" s="29" t="inlineStr">
        <is>
          <t>qwen3.5-397b-a17b</t>
        </is>
      </c>
      <c r="B120" s="29" t="inlineStr">
        <is>
          <t>4x RTX PRO 6000 Blackwell Server</t>
        </is>
      </c>
      <c r="C120" s="30" t="n">
        <v>384</v>
      </c>
      <c r="D120" s="31" t="inlineStr">
        <is>
          <t>Interactive</t>
        </is>
      </c>
      <c r="E120" s="30" t="n">
        <v>32768</v>
      </c>
      <c r="F120" s="31" t="n">
        <v>1</v>
      </c>
      <c r="G120" s="32" t="inlineStr">
        <is>
          <t>Yes</t>
        </is>
      </c>
      <c r="H120" s="31" t="inlineStr">
        <is>
          <t>Q4_K_M</t>
        </is>
      </c>
      <c r="I120" s="33" t="n">
        <v>139.5</v>
      </c>
      <c r="J120" s="31" t="inlineStr">
        <is>
          <t>Supported</t>
        </is>
      </c>
    </row>
    <row r="121">
      <c r="A121" s="4" t="inlineStr">
        <is>
          <t>qwen3.5-397b-a17b</t>
        </is>
      </c>
      <c r="B121" s="4" t="inlineStr">
        <is>
          <t>4x RTX PRO 6000 Blackwell Server</t>
        </is>
      </c>
      <c r="C121" s="25" t="n">
        <v>384</v>
      </c>
      <c r="D121" s="26" t="inlineStr">
        <is>
          <t>High Throughput</t>
        </is>
      </c>
      <c r="E121" s="25" t="n">
        <v>65536</v>
      </c>
      <c r="F121" s="26" t="n">
        <v>4</v>
      </c>
      <c r="G121" s="27" t="inlineStr">
        <is>
          <t>Yes</t>
        </is>
      </c>
      <c r="H121" s="26" t="inlineStr">
        <is>
          <t>Q4_K_M</t>
        </is>
      </c>
      <c r="I121" s="28" t="n">
        <v>109.5</v>
      </c>
      <c r="J121" s="26" t="inlineStr">
        <is>
          <t>Supported</t>
        </is>
      </c>
    </row>
    <row r="122">
      <c r="A122" s="29" t="inlineStr">
        <is>
          <t>qwen3.5-397b-a17b</t>
        </is>
      </c>
      <c r="B122" s="29" t="inlineStr">
        <is>
          <t>HGX H200 8-GPU Server</t>
        </is>
      </c>
      <c r="C122" s="30" t="n">
        <v>1128</v>
      </c>
      <c r="D122" s="31" t="inlineStr">
        <is>
          <t>Minimum Viable</t>
        </is>
      </c>
      <c r="E122" s="30" t="n">
        <v>8192</v>
      </c>
      <c r="F122" s="31" t="n">
        <v>1</v>
      </c>
      <c r="G122" s="32" t="inlineStr">
        <is>
          <t>Yes</t>
        </is>
      </c>
      <c r="H122" s="31" t="inlineStr">
        <is>
          <t>FP8</t>
        </is>
      </c>
      <c r="I122" s="33" t="n">
        <v>706.1</v>
      </c>
      <c r="J122" s="31" t="inlineStr">
        <is>
          <t>Supported</t>
        </is>
      </c>
    </row>
    <row r="123">
      <c r="A123" s="4" t="inlineStr">
        <is>
          <t>qwen3.5-397b-a17b</t>
        </is>
      </c>
      <c r="B123" s="4" t="inlineStr">
        <is>
          <t>HGX H200 8-GPU Server</t>
        </is>
      </c>
      <c r="C123" s="25" t="n">
        <v>1128</v>
      </c>
      <c r="D123" s="26" t="inlineStr">
        <is>
          <t>Interactive</t>
        </is>
      </c>
      <c r="E123" s="25" t="n">
        <v>32768</v>
      </c>
      <c r="F123" s="26" t="n">
        <v>1</v>
      </c>
      <c r="G123" s="27" t="inlineStr">
        <is>
          <t>Yes</t>
        </is>
      </c>
      <c r="H123" s="26" t="inlineStr">
        <is>
          <t>FP8</t>
        </is>
      </c>
      <c r="I123" s="28" t="n">
        <v>701.1</v>
      </c>
      <c r="J123" s="26" t="inlineStr">
        <is>
          <t>Supported</t>
        </is>
      </c>
    </row>
    <row r="124">
      <c r="A124" s="29" t="inlineStr">
        <is>
          <t>qwen3.5-397b-a17b</t>
        </is>
      </c>
      <c r="B124" s="29" t="inlineStr">
        <is>
          <t>HGX H200 8-GPU Server</t>
        </is>
      </c>
      <c r="C124" s="30" t="n">
        <v>1128</v>
      </c>
      <c r="D124" s="31" t="inlineStr">
        <is>
          <t>High Throughput</t>
        </is>
      </c>
      <c r="E124" s="30" t="n">
        <v>65536</v>
      </c>
      <c r="F124" s="31" t="n">
        <v>4</v>
      </c>
      <c r="G124" s="32" t="inlineStr">
        <is>
          <t>Yes</t>
        </is>
      </c>
      <c r="H124" s="31" t="inlineStr">
        <is>
          <t>FP8</t>
        </is>
      </c>
      <c r="I124" s="33" t="n">
        <v>671.1</v>
      </c>
      <c r="J124" s="31" t="inlineStr">
        <is>
          <t>Supported</t>
        </is>
      </c>
    </row>
    <row r="125">
      <c r="A125" s="4" t="inlineStr">
        <is>
          <t>llama-3.3-70b</t>
        </is>
      </c>
      <c r="B125" s="4" t="inlineStr">
        <is>
          <t>Mac Studio M5 Max</t>
        </is>
      </c>
      <c r="C125" s="25" t="n">
        <v>128</v>
      </c>
      <c r="D125" s="26" t="inlineStr">
        <is>
          <t>Minimum Viable</t>
        </is>
      </c>
      <c r="E125" s="25" t="n">
        <v>8192</v>
      </c>
      <c r="F125" s="26" t="n">
        <v>1</v>
      </c>
      <c r="G125" s="27" t="inlineStr">
        <is>
          <t>Yes</t>
        </is>
      </c>
      <c r="H125" s="26" t="inlineStr">
        <is>
          <t>FP8</t>
        </is>
      </c>
      <c r="I125" s="28" t="n">
        <v>48.6</v>
      </c>
      <c r="J125" s="26" t="inlineStr">
        <is>
          <t>Supported</t>
        </is>
      </c>
    </row>
    <row r="126">
      <c r="A126" s="29" t="inlineStr">
        <is>
          <t>llama-3.3-70b</t>
        </is>
      </c>
      <c r="B126" s="29" t="inlineStr">
        <is>
          <t>Mac Studio M5 Max</t>
        </is>
      </c>
      <c r="C126" s="30" t="n">
        <v>128</v>
      </c>
      <c r="D126" s="31" t="inlineStr">
        <is>
          <t>Interactive</t>
        </is>
      </c>
      <c r="E126" s="30" t="n">
        <v>32768</v>
      </c>
      <c r="F126" s="31" t="n">
        <v>1</v>
      </c>
      <c r="G126" s="32" t="inlineStr">
        <is>
          <t>Yes</t>
        </is>
      </c>
      <c r="H126" s="31" t="inlineStr">
        <is>
          <t>FP8</t>
        </is>
      </c>
      <c r="I126" s="33" t="n">
        <v>42.9</v>
      </c>
      <c r="J126" s="31" t="inlineStr">
        <is>
          <t>Supported</t>
        </is>
      </c>
    </row>
    <row r="127">
      <c r="A127" s="4" t="inlineStr">
        <is>
          <t>llama-3.3-70b</t>
        </is>
      </c>
      <c r="B127" s="4" t="inlineStr">
        <is>
          <t>Mac Studio M5 Max</t>
        </is>
      </c>
      <c r="C127" s="25" t="n">
        <v>128</v>
      </c>
      <c r="D127" s="26" t="inlineStr">
        <is>
          <t>High Throughput</t>
        </is>
      </c>
      <c r="E127" s="25" t="n">
        <v>65536</v>
      </c>
      <c r="F127" s="26" t="n">
        <v>4</v>
      </c>
      <c r="G127" s="27" t="inlineStr">
        <is>
          <t>Yes</t>
        </is>
      </c>
      <c r="H127" s="26" t="inlineStr">
        <is>
          <t>FP8</t>
        </is>
      </c>
      <c r="I127" s="28" t="n">
        <v>5.9</v>
      </c>
      <c r="J127" s="26" t="inlineStr">
        <is>
          <t>Supported</t>
        </is>
      </c>
    </row>
    <row r="128">
      <c r="A128" s="29" t="inlineStr">
        <is>
          <t>llama-3.3-70b</t>
        </is>
      </c>
      <c r="B128" s="29" t="inlineStr">
        <is>
          <t>Mac Studio M5 Ultra</t>
        </is>
      </c>
      <c r="C128" s="30" t="n">
        <v>256</v>
      </c>
      <c r="D128" s="31" t="inlineStr">
        <is>
          <t>Minimum Viable</t>
        </is>
      </c>
      <c r="E128" s="30" t="n">
        <v>8192</v>
      </c>
      <c r="F128" s="31" t="n">
        <v>1</v>
      </c>
      <c r="G128" s="32" t="inlineStr">
        <is>
          <t>Yes</t>
        </is>
      </c>
      <c r="H128" s="31" t="inlineStr">
        <is>
          <t>FP8</t>
        </is>
      </c>
      <c r="I128" s="33" t="n">
        <v>176.6</v>
      </c>
      <c r="J128" s="31" t="inlineStr">
        <is>
          <t>Supported</t>
        </is>
      </c>
    </row>
    <row r="129">
      <c r="A129" s="4" t="inlineStr">
        <is>
          <t>llama-3.3-70b</t>
        </is>
      </c>
      <c r="B129" s="4" t="inlineStr">
        <is>
          <t>Mac Studio M5 Ultra</t>
        </is>
      </c>
      <c r="C129" s="25" t="n">
        <v>256</v>
      </c>
      <c r="D129" s="26" t="inlineStr">
        <is>
          <t>Interactive</t>
        </is>
      </c>
      <c r="E129" s="25" t="n">
        <v>32768</v>
      </c>
      <c r="F129" s="26" t="n">
        <v>1</v>
      </c>
      <c r="G129" s="27" t="inlineStr">
        <is>
          <t>Yes</t>
        </is>
      </c>
      <c r="H129" s="26" t="inlineStr">
        <is>
          <t>FP8</t>
        </is>
      </c>
      <c r="I129" s="28" t="n">
        <v>170.9</v>
      </c>
      <c r="J129" s="26" t="inlineStr">
        <is>
          <t>Supported</t>
        </is>
      </c>
    </row>
    <row r="130">
      <c r="A130" s="29" t="inlineStr">
        <is>
          <t>llama-3.3-70b</t>
        </is>
      </c>
      <c r="B130" s="29" t="inlineStr">
        <is>
          <t>Mac Studio M5 Ultra</t>
        </is>
      </c>
      <c r="C130" s="30" t="n">
        <v>256</v>
      </c>
      <c r="D130" s="31" t="inlineStr">
        <is>
          <t>High Throughput</t>
        </is>
      </c>
      <c r="E130" s="30" t="n">
        <v>65536</v>
      </c>
      <c r="F130" s="31" t="n">
        <v>4</v>
      </c>
      <c r="G130" s="32" t="inlineStr">
        <is>
          <t>Yes</t>
        </is>
      </c>
      <c r="H130" s="31" t="inlineStr">
        <is>
          <t>FP8</t>
        </is>
      </c>
      <c r="I130" s="33" t="n">
        <v>133.9</v>
      </c>
      <c r="J130" s="31" t="inlineStr">
        <is>
          <t>Supported</t>
        </is>
      </c>
    </row>
    <row r="131">
      <c r="A131" s="4" t="inlineStr">
        <is>
          <t>llama-3.3-70b</t>
        </is>
      </c>
      <c r="B131" s="4" t="inlineStr">
        <is>
          <t>Mac Studio M5 Ultra (512GB)</t>
        </is>
      </c>
      <c r="C131" s="25" t="n">
        <v>512</v>
      </c>
      <c r="D131" s="26" t="inlineStr">
        <is>
          <t>Minimum Viable</t>
        </is>
      </c>
      <c r="E131" s="25" t="n">
        <v>8192</v>
      </c>
      <c r="F131" s="26" t="n">
        <v>1</v>
      </c>
      <c r="G131" s="27" t="inlineStr">
        <is>
          <t>Yes</t>
        </is>
      </c>
      <c r="H131" s="26" t="inlineStr">
        <is>
          <t>FP8</t>
        </is>
      </c>
      <c r="I131" s="28" t="n">
        <v>432.6</v>
      </c>
      <c r="J131" s="26" t="inlineStr">
        <is>
          <t>Supported</t>
        </is>
      </c>
    </row>
    <row r="132">
      <c r="A132" s="29" t="inlineStr">
        <is>
          <t>llama-3.3-70b</t>
        </is>
      </c>
      <c r="B132" s="29" t="inlineStr">
        <is>
          <t>Mac Studio M5 Ultra (512GB)</t>
        </is>
      </c>
      <c r="C132" s="30" t="n">
        <v>512</v>
      </c>
      <c r="D132" s="31" t="inlineStr">
        <is>
          <t>Interactive</t>
        </is>
      </c>
      <c r="E132" s="30" t="n">
        <v>32768</v>
      </c>
      <c r="F132" s="31" t="n">
        <v>1</v>
      </c>
      <c r="G132" s="32" t="inlineStr">
        <is>
          <t>Yes</t>
        </is>
      </c>
      <c r="H132" s="31" t="inlineStr">
        <is>
          <t>FP8</t>
        </is>
      </c>
      <c r="I132" s="33" t="n">
        <v>426.9</v>
      </c>
      <c r="J132" s="31" t="inlineStr">
        <is>
          <t>Supported</t>
        </is>
      </c>
    </row>
    <row r="133">
      <c r="A133" s="4" t="inlineStr">
        <is>
          <t>llama-3.3-70b</t>
        </is>
      </c>
      <c r="B133" s="4" t="inlineStr">
        <is>
          <t>Mac Studio M5 Ultra (512GB)</t>
        </is>
      </c>
      <c r="C133" s="25" t="n">
        <v>512</v>
      </c>
      <c r="D133" s="26" t="inlineStr">
        <is>
          <t>High Throughput</t>
        </is>
      </c>
      <c r="E133" s="25" t="n">
        <v>65536</v>
      </c>
      <c r="F133" s="26" t="n">
        <v>4</v>
      </c>
      <c r="G133" s="27" t="inlineStr">
        <is>
          <t>Yes</t>
        </is>
      </c>
      <c r="H133" s="26" t="inlineStr">
        <is>
          <t>FP8</t>
        </is>
      </c>
      <c r="I133" s="28" t="n">
        <v>389.9</v>
      </c>
      <c r="J133" s="26" t="inlineStr">
        <is>
          <t>Supported</t>
        </is>
      </c>
    </row>
    <row r="134">
      <c r="A134" s="29" t="inlineStr">
        <is>
          <t>llama-3.3-70b</t>
        </is>
      </c>
      <c r="B134" s="29" t="inlineStr">
        <is>
          <t>NVIDIA DGX Spark</t>
        </is>
      </c>
      <c r="C134" s="30" t="n">
        <v>128</v>
      </c>
      <c r="D134" s="31" t="inlineStr">
        <is>
          <t>Minimum Viable</t>
        </is>
      </c>
      <c r="E134" s="30" t="n">
        <v>8192</v>
      </c>
      <c r="F134" s="31" t="n">
        <v>1</v>
      </c>
      <c r="G134" s="32" t="inlineStr">
        <is>
          <t>Yes</t>
        </is>
      </c>
      <c r="H134" s="31" t="inlineStr">
        <is>
          <t>FP8</t>
        </is>
      </c>
      <c r="I134" s="33" t="n">
        <v>48.6</v>
      </c>
      <c r="J134" s="31" t="inlineStr">
        <is>
          <t>Supported</t>
        </is>
      </c>
    </row>
    <row r="135">
      <c r="A135" s="4" t="inlineStr">
        <is>
          <t>llama-3.3-70b</t>
        </is>
      </c>
      <c r="B135" s="4" t="inlineStr">
        <is>
          <t>NVIDIA DGX Spark</t>
        </is>
      </c>
      <c r="C135" s="25" t="n">
        <v>128</v>
      </c>
      <c r="D135" s="26" t="inlineStr">
        <is>
          <t>Interactive</t>
        </is>
      </c>
      <c r="E135" s="25" t="n">
        <v>32768</v>
      </c>
      <c r="F135" s="26" t="n">
        <v>1</v>
      </c>
      <c r="G135" s="27" t="inlineStr">
        <is>
          <t>Yes</t>
        </is>
      </c>
      <c r="H135" s="26" t="inlineStr">
        <is>
          <t>FP8</t>
        </is>
      </c>
      <c r="I135" s="28" t="n">
        <v>42.9</v>
      </c>
      <c r="J135" s="26" t="inlineStr">
        <is>
          <t>Supported</t>
        </is>
      </c>
    </row>
    <row r="136">
      <c r="A136" s="29" t="inlineStr">
        <is>
          <t>llama-3.3-70b</t>
        </is>
      </c>
      <c r="B136" s="29" t="inlineStr">
        <is>
          <t>NVIDIA DGX Spark</t>
        </is>
      </c>
      <c r="C136" s="30" t="n">
        <v>128</v>
      </c>
      <c r="D136" s="31" t="inlineStr">
        <is>
          <t>High Throughput</t>
        </is>
      </c>
      <c r="E136" s="30" t="n">
        <v>65536</v>
      </c>
      <c r="F136" s="31" t="n">
        <v>4</v>
      </c>
      <c r="G136" s="32" t="inlineStr">
        <is>
          <t>Yes</t>
        </is>
      </c>
      <c r="H136" s="31" t="inlineStr">
        <is>
          <t>FP8</t>
        </is>
      </c>
      <c r="I136" s="33" t="n">
        <v>5.9</v>
      </c>
      <c r="J136" s="31" t="inlineStr">
        <is>
          <t>Supported</t>
        </is>
      </c>
    </row>
    <row r="137">
      <c r="A137" s="4" t="inlineStr">
        <is>
          <t>llama-3.3-70b</t>
        </is>
      </c>
      <c r="B137" s="4" t="inlineStr">
        <is>
          <t>Dual DGX Spark Cluster</t>
        </is>
      </c>
      <c r="C137" s="25" t="n">
        <v>256</v>
      </c>
      <c r="D137" s="26" t="inlineStr">
        <is>
          <t>Minimum Viable</t>
        </is>
      </c>
      <c r="E137" s="25" t="n">
        <v>8192</v>
      </c>
      <c r="F137" s="26" t="n">
        <v>1</v>
      </c>
      <c r="G137" s="27" t="inlineStr">
        <is>
          <t>Yes</t>
        </is>
      </c>
      <c r="H137" s="26" t="inlineStr">
        <is>
          <t>FP8</t>
        </is>
      </c>
      <c r="I137" s="28" t="n">
        <v>176.6</v>
      </c>
      <c r="J137" s="26" t="inlineStr">
        <is>
          <t>Supported</t>
        </is>
      </c>
    </row>
    <row r="138">
      <c r="A138" s="29" t="inlineStr">
        <is>
          <t>llama-3.3-70b</t>
        </is>
      </c>
      <c r="B138" s="29" t="inlineStr">
        <is>
          <t>Dual DGX Spark Cluster</t>
        </is>
      </c>
      <c r="C138" s="30" t="n">
        <v>256</v>
      </c>
      <c r="D138" s="31" t="inlineStr">
        <is>
          <t>Interactive</t>
        </is>
      </c>
      <c r="E138" s="30" t="n">
        <v>32768</v>
      </c>
      <c r="F138" s="31" t="n">
        <v>1</v>
      </c>
      <c r="G138" s="32" t="inlineStr">
        <is>
          <t>Yes</t>
        </is>
      </c>
      <c r="H138" s="31" t="inlineStr">
        <is>
          <t>FP8</t>
        </is>
      </c>
      <c r="I138" s="33" t="n">
        <v>170.9</v>
      </c>
      <c r="J138" s="31" t="inlineStr">
        <is>
          <t>Supported</t>
        </is>
      </c>
    </row>
    <row r="139">
      <c r="A139" s="4" t="inlineStr">
        <is>
          <t>llama-3.3-70b</t>
        </is>
      </c>
      <c r="B139" s="4" t="inlineStr">
        <is>
          <t>Dual DGX Spark Cluster</t>
        </is>
      </c>
      <c r="C139" s="25" t="n">
        <v>256</v>
      </c>
      <c r="D139" s="26" t="inlineStr">
        <is>
          <t>High Throughput</t>
        </is>
      </c>
      <c r="E139" s="25" t="n">
        <v>65536</v>
      </c>
      <c r="F139" s="26" t="n">
        <v>4</v>
      </c>
      <c r="G139" s="27" t="inlineStr">
        <is>
          <t>Yes</t>
        </is>
      </c>
      <c r="H139" s="26" t="inlineStr">
        <is>
          <t>FP8</t>
        </is>
      </c>
      <c r="I139" s="28" t="n">
        <v>133.9</v>
      </c>
      <c r="J139" s="26" t="inlineStr">
        <is>
          <t>Supported</t>
        </is>
      </c>
    </row>
    <row r="140">
      <c r="A140" s="29" t="inlineStr">
        <is>
          <t>llama-3.3-70b</t>
        </is>
      </c>
      <c r="B140" s="29" t="inlineStr">
        <is>
          <t>Dual Mac Studio M5 Ultra Cluster</t>
        </is>
      </c>
      <c r="C140" s="30" t="n">
        <v>512</v>
      </c>
      <c r="D140" s="31" t="inlineStr">
        <is>
          <t>Minimum Viable</t>
        </is>
      </c>
      <c r="E140" s="30" t="n">
        <v>8192</v>
      </c>
      <c r="F140" s="31" t="n">
        <v>1</v>
      </c>
      <c r="G140" s="32" t="inlineStr">
        <is>
          <t>Yes</t>
        </is>
      </c>
      <c r="H140" s="31" t="inlineStr">
        <is>
          <t>FP8</t>
        </is>
      </c>
      <c r="I140" s="33" t="n">
        <v>432.6</v>
      </c>
      <c r="J140" s="31" t="inlineStr">
        <is>
          <t>Supported</t>
        </is>
      </c>
    </row>
    <row r="141">
      <c r="A141" s="4" t="inlineStr">
        <is>
          <t>llama-3.3-70b</t>
        </is>
      </c>
      <c r="B141" s="4" t="inlineStr">
        <is>
          <t>Dual Mac Studio M5 Ultra Cluster</t>
        </is>
      </c>
      <c r="C141" s="25" t="n">
        <v>512</v>
      </c>
      <c r="D141" s="26" t="inlineStr">
        <is>
          <t>Interactive</t>
        </is>
      </c>
      <c r="E141" s="25" t="n">
        <v>32768</v>
      </c>
      <c r="F141" s="26" t="n">
        <v>1</v>
      </c>
      <c r="G141" s="27" t="inlineStr">
        <is>
          <t>Yes</t>
        </is>
      </c>
      <c r="H141" s="26" t="inlineStr">
        <is>
          <t>FP8</t>
        </is>
      </c>
      <c r="I141" s="28" t="n">
        <v>426.9</v>
      </c>
      <c r="J141" s="26" t="inlineStr">
        <is>
          <t>Supported</t>
        </is>
      </c>
    </row>
    <row r="142">
      <c r="A142" s="29" t="inlineStr">
        <is>
          <t>llama-3.3-70b</t>
        </is>
      </c>
      <c r="B142" s="29" t="inlineStr">
        <is>
          <t>Dual Mac Studio M5 Ultra Cluster</t>
        </is>
      </c>
      <c r="C142" s="30" t="n">
        <v>512</v>
      </c>
      <c r="D142" s="31" t="inlineStr">
        <is>
          <t>High Throughput</t>
        </is>
      </c>
      <c r="E142" s="30" t="n">
        <v>65536</v>
      </c>
      <c r="F142" s="31" t="n">
        <v>4</v>
      </c>
      <c r="G142" s="32" t="inlineStr">
        <is>
          <t>Yes</t>
        </is>
      </c>
      <c r="H142" s="31" t="inlineStr">
        <is>
          <t>FP8</t>
        </is>
      </c>
      <c r="I142" s="33" t="n">
        <v>389.9</v>
      </c>
      <c r="J142" s="31" t="inlineStr">
        <is>
          <t>Supported</t>
        </is>
      </c>
    </row>
    <row r="143">
      <c r="A143" s="4" t="inlineStr">
        <is>
          <t>llama-3.3-70b</t>
        </is>
      </c>
      <c r="B143" s="4" t="inlineStr">
        <is>
          <t>4x RTX PRO 6000 Blackwell Server</t>
        </is>
      </c>
      <c r="C143" s="25" t="n">
        <v>384</v>
      </c>
      <c r="D143" s="26" t="inlineStr">
        <is>
          <t>Minimum Viable</t>
        </is>
      </c>
      <c r="E143" s="25" t="n">
        <v>8192</v>
      </c>
      <c r="F143" s="26" t="n">
        <v>1</v>
      </c>
      <c r="G143" s="27" t="inlineStr">
        <is>
          <t>Yes</t>
        </is>
      </c>
      <c r="H143" s="26" t="inlineStr">
        <is>
          <t>FP8</t>
        </is>
      </c>
      <c r="I143" s="28" t="n">
        <v>304.6</v>
      </c>
      <c r="J143" s="26" t="inlineStr">
        <is>
          <t>Supported</t>
        </is>
      </c>
    </row>
    <row r="144">
      <c r="A144" s="29" t="inlineStr">
        <is>
          <t>llama-3.3-70b</t>
        </is>
      </c>
      <c r="B144" s="29" t="inlineStr">
        <is>
          <t>4x RTX PRO 6000 Blackwell Server</t>
        </is>
      </c>
      <c r="C144" s="30" t="n">
        <v>384</v>
      </c>
      <c r="D144" s="31" t="inlineStr">
        <is>
          <t>Interactive</t>
        </is>
      </c>
      <c r="E144" s="30" t="n">
        <v>32768</v>
      </c>
      <c r="F144" s="31" t="n">
        <v>1</v>
      </c>
      <c r="G144" s="32" t="inlineStr">
        <is>
          <t>Yes</t>
        </is>
      </c>
      <c r="H144" s="31" t="inlineStr">
        <is>
          <t>FP8</t>
        </is>
      </c>
      <c r="I144" s="33" t="n">
        <v>298.9</v>
      </c>
      <c r="J144" s="31" t="inlineStr">
        <is>
          <t>Supported</t>
        </is>
      </c>
    </row>
    <row r="145">
      <c r="A145" s="4" t="inlineStr">
        <is>
          <t>llama-3.3-70b</t>
        </is>
      </c>
      <c r="B145" s="4" t="inlineStr">
        <is>
          <t>4x RTX PRO 6000 Blackwell Server</t>
        </is>
      </c>
      <c r="C145" s="25" t="n">
        <v>384</v>
      </c>
      <c r="D145" s="26" t="inlineStr">
        <is>
          <t>High Throughput</t>
        </is>
      </c>
      <c r="E145" s="25" t="n">
        <v>65536</v>
      </c>
      <c r="F145" s="26" t="n">
        <v>4</v>
      </c>
      <c r="G145" s="27" t="inlineStr">
        <is>
          <t>Yes</t>
        </is>
      </c>
      <c r="H145" s="26" t="inlineStr">
        <is>
          <t>FP8</t>
        </is>
      </c>
      <c r="I145" s="28" t="n">
        <v>261.9</v>
      </c>
      <c r="J145" s="26" t="inlineStr">
        <is>
          <t>Supported</t>
        </is>
      </c>
    </row>
    <row r="146">
      <c r="A146" s="29" t="inlineStr">
        <is>
          <t>llama-3.3-70b</t>
        </is>
      </c>
      <c r="B146" s="29" t="inlineStr">
        <is>
          <t>HGX H200 8-GPU Server</t>
        </is>
      </c>
      <c r="C146" s="30" t="n">
        <v>1128</v>
      </c>
      <c r="D146" s="31" t="inlineStr">
        <is>
          <t>Minimum Viable</t>
        </is>
      </c>
      <c r="E146" s="30" t="n">
        <v>8192</v>
      </c>
      <c r="F146" s="31" t="n">
        <v>1</v>
      </c>
      <c r="G146" s="32" t="inlineStr">
        <is>
          <t>Yes</t>
        </is>
      </c>
      <c r="H146" s="31" t="inlineStr">
        <is>
          <t>FP8</t>
        </is>
      </c>
      <c r="I146" s="33" t="n">
        <v>1048.6</v>
      </c>
      <c r="J146" s="31" t="inlineStr">
        <is>
          <t>Supported</t>
        </is>
      </c>
    </row>
    <row r="147">
      <c r="A147" s="4" t="inlineStr">
        <is>
          <t>llama-3.3-70b</t>
        </is>
      </c>
      <c r="B147" s="4" t="inlineStr">
        <is>
          <t>HGX H200 8-GPU Server</t>
        </is>
      </c>
      <c r="C147" s="25" t="n">
        <v>1128</v>
      </c>
      <c r="D147" s="26" t="inlineStr">
        <is>
          <t>Interactive</t>
        </is>
      </c>
      <c r="E147" s="25" t="n">
        <v>32768</v>
      </c>
      <c r="F147" s="26" t="n">
        <v>1</v>
      </c>
      <c r="G147" s="27" t="inlineStr">
        <is>
          <t>Yes</t>
        </is>
      </c>
      <c r="H147" s="26" t="inlineStr">
        <is>
          <t>FP8</t>
        </is>
      </c>
      <c r="I147" s="28" t="n">
        <v>1042.9</v>
      </c>
      <c r="J147" s="26" t="inlineStr">
        <is>
          <t>Supported</t>
        </is>
      </c>
    </row>
    <row r="148">
      <c r="A148" s="29" t="inlineStr">
        <is>
          <t>llama-3.3-70b</t>
        </is>
      </c>
      <c r="B148" s="29" t="inlineStr">
        <is>
          <t>HGX H200 8-GPU Server</t>
        </is>
      </c>
      <c r="C148" s="30" t="n">
        <v>1128</v>
      </c>
      <c r="D148" s="31" t="inlineStr">
        <is>
          <t>High Throughput</t>
        </is>
      </c>
      <c r="E148" s="30" t="n">
        <v>65536</v>
      </c>
      <c r="F148" s="31" t="n">
        <v>4</v>
      </c>
      <c r="G148" s="32" t="inlineStr">
        <is>
          <t>Yes</t>
        </is>
      </c>
      <c r="H148" s="31" t="inlineStr">
        <is>
          <t>FP8</t>
        </is>
      </c>
      <c r="I148" s="33" t="n">
        <v>1005.9</v>
      </c>
      <c r="J148" s="31" t="inlineStr">
        <is>
          <t>Supported</t>
        </is>
      </c>
    </row>
    <row r="149">
      <c r="A149" s="4" t="inlineStr">
        <is>
          <t>gemma-4-26b-a4b</t>
        </is>
      </c>
      <c r="B149" s="4" t="inlineStr">
        <is>
          <t>Mac Studio M5 Max</t>
        </is>
      </c>
      <c r="C149" s="25" t="n">
        <v>128</v>
      </c>
      <c r="D149" s="26" t="inlineStr">
        <is>
          <t>Minimum Viable</t>
        </is>
      </c>
      <c r="E149" s="25" t="n">
        <v>8192</v>
      </c>
      <c r="F149" s="26" t="n">
        <v>1</v>
      </c>
      <c r="G149" s="27" t="inlineStr">
        <is>
          <t>Yes</t>
        </is>
      </c>
      <c r="H149" s="26" t="inlineStr">
        <is>
          <t>FP8</t>
        </is>
      </c>
      <c r="I149" s="28" t="n">
        <v>96.40000000000001</v>
      </c>
      <c r="J149" s="26" t="inlineStr">
        <is>
          <t>Supported</t>
        </is>
      </c>
    </row>
    <row r="150">
      <c r="A150" s="29" t="inlineStr">
        <is>
          <t>gemma-4-26b-a4b</t>
        </is>
      </c>
      <c r="B150" s="29" t="inlineStr">
        <is>
          <t>Mac Studio M5 Max</t>
        </is>
      </c>
      <c r="C150" s="30" t="n">
        <v>128</v>
      </c>
      <c r="D150" s="31" t="inlineStr">
        <is>
          <t>Interactive</t>
        </is>
      </c>
      <c r="E150" s="30" t="n">
        <v>32768</v>
      </c>
      <c r="F150" s="31" t="n">
        <v>1</v>
      </c>
      <c r="G150" s="32" t="inlineStr">
        <is>
          <t>Yes</t>
        </is>
      </c>
      <c r="H150" s="31" t="inlineStr">
        <is>
          <t>FP8</t>
        </is>
      </c>
      <c r="I150" s="33" t="n">
        <v>93.5</v>
      </c>
      <c r="J150" s="31" t="inlineStr">
        <is>
          <t>Supported</t>
        </is>
      </c>
    </row>
    <row r="151">
      <c r="A151" s="4" t="inlineStr">
        <is>
          <t>gemma-4-26b-a4b</t>
        </is>
      </c>
      <c r="B151" s="4" t="inlineStr">
        <is>
          <t>Mac Studio M5 Max</t>
        </is>
      </c>
      <c r="C151" s="25" t="n">
        <v>128</v>
      </c>
      <c r="D151" s="26" t="inlineStr">
        <is>
          <t>High Throughput</t>
        </is>
      </c>
      <c r="E151" s="25" t="n">
        <v>65536</v>
      </c>
      <c r="F151" s="26" t="n">
        <v>4</v>
      </c>
      <c r="G151" s="27" t="inlineStr">
        <is>
          <t>Yes</t>
        </is>
      </c>
      <c r="H151" s="26" t="inlineStr">
        <is>
          <t>FP8</t>
        </is>
      </c>
      <c r="I151" s="28" t="n">
        <v>82.7</v>
      </c>
      <c r="J151" s="26" t="inlineStr">
        <is>
          <t>Supported</t>
        </is>
      </c>
    </row>
    <row r="152">
      <c r="A152" s="29" t="inlineStr">
        <is>
          <t>gemma-4-26b-a4b</t>
        </is>
      </c>
      <c r="B152" s="29" t="inlineStr">
        <is>
          <t>Mac Studio M5 Ultra</t>
        </is>
      </c>
      <c r="C152" s="30" t="n">
        <v>256</v>
      </c>
      <c r="D152" s="31" t="inlineStr">
        <is>
          <t>Minimum Viable</t>
        </is>
      </c>
      <c r="E152" s="30" t="n">
        <v>8192</v>
      </c>
      <c r="F152" s="31" t="n">
        <v>1</v>
      </c>
      <c r="G152" s="32" t="inlineStr">
        <is>
          <t>Yes</t>
        </is>
      </c>
      <c r="H152" s="31" t="inlineStr">
        <is>
          <t>FP8</t>
        </is>
      </c>
      <c r="I152" s="33" t="n">
        <v>224.4</v>
      </c>
      <c r="J152" s="31" t="inlineStr">
        <is>
          <t>Supported</t>
        </is>
      </c>
    </row>
    <row r="153">
      <c r="A153" s="4" t="inlineStr">
        <is>
          <t>gemma-4-26b-a4b</t>
        </is>
      </c>
      <c r="B153" s="4" t="inlineStr">
        <is>
          <t>Mac Studio M5 Ultra</t>
        </is>
      </c>
      <c r="C153" s="25" t="n">
        <v>256</v>
      </c>
      <c r="D153" s="26" t="inlineStr">
        <is>
          <t>Interactive</t>
        </is>
      </c>
      <c r="E153" s="25" t="n">
        <v>32768</v>
      </c>
      <c r="F153" s="26" t="n">
        <v>1</v>
      </c>
      <c r="G153" s="27" t="inlineStr">
        <is>
          <t>Yes</t>
        </is>
      </c>
      <c r="H153" s="26" t="inlineStr">
        <is>
          <t>FP8</t>
        </is>
      </c>
      <c r="I153" s="28" t="n">
        <v>221.4</v>
      </c>
      <c r="J153" s="26" t="inlineStr">
        <is>
          <t>Supported</t>
        </is>
      </c>
    </row>
    <row r="154">
      <c r="A154" s="29" t="inlineStr">
        <is>
          <t>gemma-4-26b-a4b</t>
        </is>
      </c>
      <c r="B154" s="29" t="inlineStr">
        <is>
          <t>Mac Studio M5 Ultra</t>
        </is>
      </c>
      <c r="C154" s="30" t="n">
        <v>256</v>
      </c>
      <c r="D154" s="31" t="inlineStr">
        <is>
          <t>High Throughput</t>
        </is>
      </c>
      <c r="E154" s="30" t="n">
        <v>65536</v>
      </c>
      <c r="F154" s="31" t="n">
        <v>4</v>
      </c>
      <c r="G154" s="32" t="inlineStr">
        <is>
          <t>Yes</t>
        </is>
      </c>
      <c r="H154" s="31" t="inlineStr">
        <is>
          <t>FP8</t>
        </is>
      </c>
      <c r="I154" s="33" t="n">
        <v>210.7</v>
      </c>
      <c r="J154" s="31" t="inlineStr">
        <is>
          <t>Supported</t>
        </is>
      </c>
    </row>
    <row r="155">
      <c r="A155" s="4" t="inlineStr">
        <is>
          <t>gemma-4-26b-a4b</t>
        </is>
      </c>
      <c r="B155" s="4" t="inlineStr">
        <is>
          <t>Mac Studio M5 Ultra (512GB)</t>
        </is>
      </c>
      <c r="C155" s="25" t="n">
        <v>512</v>
      </c>
      <c r="D155" s="26" t="inlineStr">
        <is>
          <t>Minimum Viable</t>
        </is>
      </c>
      <c r="E155" s="25" t="n">
        <v>8192</v>
      </c>
      <c r="F155" s="26" t="n">
        <v>1</v>
      </c>
      <c r="G155" s="27" t="inlineStr">
        <is>
          <t>Yes</t>
        </is>
      </c>
      <c r="H155" s="26" t="inlineStr">
        <is>
          <t>FP8</t>
        </is>
      </c>
      <c r="I155" s="28" t="n">
        <v>480.4</v>
      </c>
      <c r="J155" s="26" t="inlineStr">
        <is>
          <t>Supported</t>
        </is>
      </c>
    </row>
    <row r="156">
      <c r="A156" s="29" t="inlineStr">
        <is>
          <t>gemma-4-26b-a4b</t>
        </is>
      </c>
      <c r="B156" s="29" t="inlineStr">
        <is>
          <t>Mac Studio M5 Ultra (512GB)</t>
        </is>
      </c>
      <c r="C156" s="30" t="n">
        <v>512</v>
      </c>
      <c r="D156" s="31" t="inlineStr">
        <is>
          <t>Interactive</t>
        </is>
      </c>
      <c r="E156" s="30" t="n">
        <v>32768</v>
      </c>
      <c r="F156" s="31" t="n">
        <v>1</v>
      </c>
      <c r="G156" s="32" t="inlineStr">
        <is>
          <t>Yes</t>
        </is>
      </c>
      <c r="H156" s="31" t="inlineStr">
        <is>
          <t>FP8</t>
        </is>
      </c>
      <c r="I156" s="33" t="n">
        <v>477.4</v>
      </c>
      <c r="J156" s="31" t="inlineStr">
        <is>
          <t>Supported</t>
        </is>
      </c>
    </row>
    <row r="157">
      <c r="A157" s="4" t="inlineStr">
        <is>
          <t>gemma-4-26b-a4b</t>
        </is>
      </c>
      <c r="B157" s="4" t="inlineStr">
        <is>
          <t>Mac Studio M5 Ultra (512GB)</t>
        </is>
      </c>
      <c r="C157" s="25" t="n">
        <v>512</v>
      </c>
      <c r="D157" s="26" t="inlineStr">
        <is>
          <t>High Throughput</t>
        </is>
      </c>
      <c r="E157" s="25" t="n">
        <v>65536</v>
      </c>
      <c r="F157" s="26" t="n">
        <v>4</v>
      </c>
      <c r="G157" s="27" t="inlineStr">
        <is>
          <t>Yes</t>
        </is>
      </c>
      <c r="H157" s="26" t="inlineStr">
        <is>
          <t>FP8</t>
        </is>
      </c>
      <c r="I157" s="28" t="n">
        <v>466.7</v>
      </c>
      <c r="J157" s="26" t="inlineStr">
        <is>
          <t>Supported</t>
        </is>
      </c>
    </row>
    <row r="158">
      <c r="A158" s="29" t="inlineStr">
        <is>
          <t>gemma-4-26b-a4b</t>
        </is>
      </c>
      <c r="B158" s="29" t="inlineStr">
        <is>
          <t>NVIDIA DGX Spark</t>
        </is>
      </c>
      <c r="C158" s="30" t="n">
        <v>128</v>
      </c>
      <c r="D158" s="31" t="inlineStr">
        <is>
          <t>Minimum Viable</t>
        </is>
      </c>
      <c r="E158" s="30" t="n">
        <v>8192</v>
      </c>
      <c r="F158" s="31" t="n">
        <v>1</v>
      </c>
      <c r="G158" s="32" t="inlineStr">
        <is>
          <t>Yes</t>
        </is>
      </c>
      <c r="H158" s="31" t="inlineStr">
        <is>
          <t>FP8</t>
        </is>
      </c>
      <c r="I158" s="33" t="n">
        <v>96.40000000000001</v>
      </c>
      <c r="J158" s="31" t="inlineStr">
        <is>
          <t>Supported</t>
        </is>
      </c>
    </row>
    <row r="159">
      <c r="A159" s="4" t="inlineStr">
        <is>
          <t>gemma-4-26b-a4b</t>
        </is>
      </c>
      <c r="B159" s="4" t="inlineStr">
        <is>
          <t>NVIDIA DGX Spark</t>
        </is>
      </c>
      <c r="C159" s="25" t="n">
        <v>128</v>
      </c>
      <c r="D159" s="26" t="inlineStr">
        <is>
          <t>Interactive</t>
        </is>
      </c>
      <c r="E159" s="25" t="n">
        <v>32768</v>
      </c>
      <c r="F159" s="26" t="n">
        <v>1</v>
      </c>
      <c r="G159" s="27" t="inlineStr">
        <is>
          <t>Yes</t>
        </is>
      </c>
      <c r="H159" s="26" t="inlineStr">
        <is>
          <t>FP8</t>
        </is>
      </c>
      <c r="I159" s="28" t="n">
        <v>93.5</v>
      </c>
      <c r="J159" s="26" t="inlineStr">
        <is>
          <t>Supported</t>
        </is>
      </c>
    </row>
    <row r="160">
      <c r="A160" s="29" t="inlineStr">
        <is>
          <t>gemma-4-26b-a4b</t>
        </is>
      </c>
      <c r="B160" s="29" t="inlineStr">
        <is>
          <t>NVIDIA DGX Spark</t>
        </is>
      </c>
      <c r="C160" s="30" t="n">
        <v>128</v>
      </c>
      <c r="D160" s="31" t="inlineStr">
        <is>
          <t>High Throughput</t>
        </is>
      </c>
      <c r="E160" s="30" t="n">
        <v>65536</v>
      </c>
      <c r="F160" s="31" t="n">
        <v>4</v>
      </c>
      <c r="G160" s="32" t="inlineStr">
        <is>
          <t>Yes</t>
        </is>
      </c>
      <c r="H160" s="31" t="inlineStr">
        <is>
          <t>FP8</t>
        </is>
      </c>
      <c r="I160" s="33" t="n">
        <v>82.7</v>
      </c>
      <c r="J160" s="31" t="inlineStr">
        <is>
          <t>Supported</t>
        </is>
      </c>
    </row>
    <row r="161">
      <c r="A161" s="4" t="inlineStr">
        <is>
          <t>gemma-4-26b-a4b</t>
        </is>
      </c>
      <c r="B161" s="4" t="inlineStr">
        <is>
          <t>Dual DGX Spark Cluster</t>
        </is>
      </c>
      <c r="C161" s="25" t="n">
        <v>256</v>
      </c>
      <c r="D161" s="26" t="inlineStr">
        <is>
          <t>Minimum Viable</t>
        </is>
      </c>
      <c r="E161" s="25" t="n">
        <v>8192</v>
      </c>
      <c r="F161" s="26" t="n">
        <v>1</v>
      </c>
      <c r="G161" s="27" t="inlineStr">
        <is>
          <t>Yes</t>
        </is>
      </c>
      <c r="H161" s="26" t="inlineStr">
        <is>
          <t>FP8</t>
        </is>
      </c>
      <c r="I161" s="28" t="n">
        <v>224.4</v>
      </c>
      <c r="J161" s="26" t="inlineStr">
        <is>
          <t>Supported</t>
        </is>
      </c>
    </row>
    <row r="162">
      <c r="A162" s="29" t="inlineStr">
        <is>
          <t>gemma-4-26b-a4b</t>
        </is>
      </c>
      <c r="B162" s="29" t="inlineStr">
        <is>
          <t>Dual DGX Spark Cluster</t>
        </is>
      </c>
      <c r="C162" s="30" t="n">
        <v>256</v>
      </c>
      <c r="D162" s="31" t="inlineStr">
        <is>
          <t>Interactive</t>
        </is>
      </c>
      <c r="E162" s="30" t="n">
        <v>32768</v>
      </c>
      <c r="F162" s="31" t="n">
        <v>1</v>
      </c>
      <c r="G162" s="32" t="inlineStr">
        <is>
          <t>Yes</t>
        </is>
      </c>
      <c r="H162" s="31" t="inlineStr">
        <is>
          <t>FP8</t>
        </is>
      </c>
      <c r="I162" s="33" t="n">
        <v>221.4</v>
      </c>
      <c r="J162" s="31" t="inlineStr">
        <is>
          <t>Supported</t>
        </is>
      </c>
    </row>
    <row r="163">
      <c r="A163" s="4" t="inlineStr">
        <is>
          <t>gemma-4-26b-a4b</t>
        </is>
      </c>
      <c r="B163" s="4" t="inlineStr">
        <is>
          <t>Dual DGX Spark Cluster</t>
        </is>
      </c>
      <c r="C163" s="25" t="n">
        <v>256</v>
      </c>
      <c r="D163" s="26" t="inlineStr">
        <is>
          <t>High Throughput</t>
        </is>
      </c>
      <c r="E163" s="25" t="n">
        <v>65536</v>
      </c>
      <c r="F163" s="26" t="n">
        <v>4</v>
      </c>
      <c r="G163" s="27" t="inlineStr">
        <is>
          <t>Yes</t>
        </is>
      </c>
      <c r="H163" s="26" t="inlineStr">
        <is>
          <t>FP8</t>
        </is>
      </c>
      <c r="I163" s="28" t="n">
        <v>210.7</v>
      </c>
      <c r="J163" s="26" t="inlineStr">
        <is>
          <t>Supported</t>
        </is>
      </c>
    </row>
    <row r="164">
      <c r="A164" s="29" t="inlineStr">
        <is>
          <t>gemma-4-26b-a4b</t>
        </is>
      </c>
      <c r="B164" s="29" t="inlineStr">
        <is>
          <t>Dual Mac Studio M5 Ultra Cluster</t>
        </is>
      </c>
      <c r="C164" s="30" t="n">
        <v>512</v>
      </c>
      <c r="D164" s="31" t="inlineStr">
        <is>
          <t>Minimum Viable</t>
        </is>
      </c>
      <c r="E164" s="30" t="n">
        <v>8192</v>
      </c>
      <c r="F164" s="31" t="n">
        <v>1</v>
      </c>
      <c r="G164" s="32" t="inlineStr">
        <is>
          <t>Yes</t>
        </is>
      </c>
      <c r="H164" s="31" t="inlineStr">
        <is>
          <t>FP8</t>
        </is>
      </c>
      <c r="I164" s="33" t="n">
        <v>480.4</v>
      </c>
      <c r="J164" s="31" t="inlineStr">
        <is>
          <t>Supported</t>
        </is>
      </c>
    </row>
    <row r="165">
      <c r="A165" s="4" t="inlineStr">
        <is>
          <t>gemma-4-26b-a4b</t>
        </is>
      </c>
      <c r="B165" s="4" t="inlineStr">
        <is>
          <t>Dual Mac Studio M5 Ultra Cluster</t>
        </is>
      </c>
      <c r="C165" s="25" t="n">
        <v>512</v>
      </c>
      <c r="D165" s="26" t="inlineStr">
        <is>
          <t>Interactive</t>
        </is>
      </c>
      <c r="E165" s="25" t="n">
        <v>32768</v>
      </c>
      <c r="F165" s="26" t="n">
        <v>1</v>
      </c>
      <c r="G165" s="27" t="inlineStr">
        <is>
          <t>Yes</t>
        </is>
      </c>
      <c r="H165" s="26" t="inlineStr">
        <is>
          <t>FP8</t>
        </is>
      </c>
      <c r="I165" s="28" t="n">
        <v>477.4</v>
      </c>
      <c r="J165" s="26" t="inlineStr">
        <is>
          <t>Supported</t>
        </is>
      </c>
    </row>
    <row r="166">
      <c r="A166" s="29" t="inlineStr">
        <is>
          <t>gemma-4-26b-a4b</t>
        </is>
      </c>
      <c r="B166" s="29" t="inlineStr">
        <is>
          <t>Dual Mac Studio M5 Ultra Cluster</t>
        </is>
      </c>
      <c r="C166" s="30" t="n">
        <v>512</v>
      </c>
      <c r="D166" s="31" t="inlineStr">
        <is>
          <t>High Throughput</t>
        </is>
      </c>
      <c r="E166" s="30" t="n">
        <v>65536</v>
      </c>
      <c r="F166" s="31" t="n">
        <v>4</v>
      </c>
      <c r="G166" s="32" t="inlineStr">
        <is>
          <t>Yes</t>
        </is>
      </c>
      <c r="H166" s="31" t="inlineStr">
        <is>
          <t>FP8</t>
        </is>
      </c>
      <c r="I166" s="33" t="n">
        <v>466.7</v>
      </c>
      <c r="J166" s="31" t="inlineStr">
        <is>
          <t>Supported</t>
        </is>
      </c>
    </row>
    <row r="167">
      <c r="A167" s="4" t="inlineStr">
        <is>
          <t>gemma-4-26b-a4b</t>
        </is>
      </c>
      <c r="B167" s="4" t="inlineStr">
        <is>
          <t>4x RTX PRO 6000 Blackwell Server</t>
        </is>
      </c>
      <c r="C167" s="25" t="n">
        <v>384</v>
      </c>
      <c r="D167" s="26" t="inlineStr">
        <is>
          <t>Minimum Viable</t>
        </is>
      </c>
      <c r="E167" s="25" t="n">
        <v>8192</v>
      </c>
      <c r="F167" s="26" t="n">
        <v>1</v>
      </c>
      <c r="G167" s="27" t="inlineStr">
        <is>
          <t>Yes</t>
        </is>
      </c>
      <c r="H167" s="26" t="inlineStr">
        <is>
          <t>FP8</t>
        </is>
      </c>
      <c r="I167" s="28" t="n">
        <v>352.4</v>
      </c>
      <c r="J167" s="26" t="inlineStr">
        <is>
          <t>Supported</t>
        </is>
      </c>
    </row>
    <row r="168">
      <c r="A168" s="29" t="inlineStr">
        <is>
          <t>gemma-4-26b-a4b</t>
        </is>
      </c>
      <c r="B168" s="29" t="inlineStr">
        <is>
          <t>4x RTX PRO 6000 Blackwell Server</t>
        </is>
      </c>
      <c r="C168" s="30" t="n">
        <v>384</v>
      </c>
      <c r="D168" s="31" t="inlineStr">
        <is>
          <t>Interactive</t>
        </is>
      </c>
      <c r="E168" s="30" t="n">
        <v>32768</v>
      </c>
      <c r="F168" s="31" t="n">
        <v>1</v>
      </c>
      <c r="G168" s="32" t="inlineStr">
        <is>
          <t>Yes</t>
        </is>
      </c>
      <c r="H168" s="31" t="inlineStr">
        <is>
          <t>FP8</t>
        </is>
      </c>
      <c r="I168" s="33" t="n">
        <v>349.4</v>
      </c>
      <c r="J168" s="31" t="inlineStr">
        <is>
          <t>Supported</t>
        </is>
      </c>
    </row>
    <row r="169">
      <c r="A169" s="4" t="inlineStr">
        <is>
          <t>gemma-4-26b-a4b</t>
        </is>
      </c>
      <c r="B169" s="4" t="inlineStr">
        <is>
          <t>4x RTX PRO 6000 Blackwell Server</t>
        </is>
      </c>
      <c r="C169" s="25" t="n">
        <v>384</v>
      </c>
      <c r="D169" s="26" t="inlineStr">
        <is>
          <t>High Throughput</t>
        </is>
      </c>
      <c r="E169" s="25" t="n">
        <v>65536</v>
      </c>
      <c r="F169" s="26" t="n">
        <v>4</v>
      </c>
      <c r="G169" s="27" t="inlineStr">
        <is>
          <t>Yes</t>
        </is>
      </c>
      <c r="H169" s="26" t="inlineStr">
        <is>
          <t>FP8</t>
        </is>
      </c>
      <c r="I169" s="28" t="n">
        <v>338.7</v>
      </c>
      <c r="J169" s="26" t="inlineStr">
        <is>
          <t>Supported</t>
        </is>
      </c>
    </row>
    <row r="170">
      <c r="A170" s="29" t="inlineStr">
        <is>
          <t>gemma-4-26b-a4b</t>
        </is>
      </c>
      <c r="B170" s="29" t="inlineStr">
        <is>
          <t>HGX H200 8-GPU Server</t>
        </is>
      </c>
      <c r="C170" s="30" t="n">
        <v>1128</v>
      </c>
      <c r="D170" s="31" t="inlineStr">
        <is>
          <t>Minimum Viable</t>
        </is>
      </c>
      <c r="E170" s="30" t="n">
        <v>8192</v>
      </c>
      <c r="F170" s="31" t="n">
        <v>1</v>
      </c>
      <c r="G170" s="32" t="inlineStr">
        <is>
          <t>Yes</t>
        </is>
      </c>
      <c r="H170" s="31" t="inlineStr">
        <is>
          <t>FP8</t>
        </is>
      </c>
      <c r="I170" s="33" t="n">
        <v>1096.4</v>
      </c>
      <c r="J170" s="31" t="inlineStr">
        <is>
          <t>Supported</t>
        </is>
      </c>
    </row>
    <row r="171">
      <c r="A171" s="4" t="inlineStr">
        <is>
          <t>gemma-4-26b-a4b</t>
        </is>
      </c>
      <c r="B171" s="4" t="inlineStr">
        <is>
          <t>HGX H200 8-GPU Server</t>
        </is>
      </c>
      <c r="C171" s="25" t="n">
        <v>1128</v>
      </c>
      <c r="D171" s="26" t="inlineStr">
        <is>
          <t>Interactive</t>
        </is>
      </c>
      <c r="E171" s="25" t="n">
        <v>32768</v>
      </c>
      <c r="F171" s="26" t="n">
        <v>1</v>
      </c>
      <c r="G171" s="27" t="inlineStr">
        <is>
          <t>Yes</t>
        </is>
      </c>
      <c r="H171" s="26" t="inlineStr">
        <is>
          <t>FP8</t>
        </is>
      </c>
      <c r="I171" s="28" t="n">
        <v>1093.5</v>
      </c>
      <c r="J171" s="26" t="inlineStr">
        <is>
          <t>Supported</t>
        </is>
      </c>
    </row>
    <row r="172">
      <c r="A172" s="29" t="inlineStr">
        <is>
          <t>gemma-4-26b-a4b</t>
        </is>
      </c>
      <c r="B172" s="29" t="inlineStr">
        <is>
          <t>HGX H200 8-GPU Server</t>
        </is>
      </c>
      <c r="C172" s="30" t="n">
        <v>1128</v>
      </c>
      <c r="D172" s="31" t="inlineStr">
        <is>
          <t>High Throughput</t>
        </is>
      </c>
      <c r="E172" s="30" t="n">
        <v>65536</v>
      </c>
      <c r="F172" s="31" t="n">
        <v>4</v>
      </c>
      <c r="G172" s="32" t="inlineStr">
        <is>
          <t>Yes</t>
        </is>
      </c>
      <c r="H172" s="31" t="inlineStr">
        <is>
          <t>FP8</t>
        </is>
      </c>
      <c r="I172" s="33" t="n">
        <v>1082.7</v>
      </c>
      <c r="J172" s="31" t="inlineStr">
        <is>
          <t>Supported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20" customWidth="1" min="5" max="5"/>
    <col width="35" customWidth="1" min="6" max="6"/>
    <col width="17" customWidth="1" min="7" max="7"/>
    <col width="14" customWidth="1" min="8" max="8"/>
    <col width="21" customWidth="1" min="9" max="9"/>
  </cols>
  <sheetData>
    <row r="1">
      <c r="A1" s="1" t="inlineStr">
        <is>
          <t>BENCHMARK EVALUATIONS &amp; MEASURED SERVING PERFORMANCE</t>
        </is>
      </c>
    </row>
    <row r="2">
      <c r="A2" s="2" t="inlineStr">
        <is>
          <t>SWE-bench Pro, Artificial Analysis Intelligence Index, Terminal-Bench 4.0, and serving TPS</t>
        </is>
      </c>
    </row>
    <row r="3"/>
    <row r="4">
      <c r="A4" s="8" t="inlineStr">
        <is>
          <t>Model Key</t>
        </is>
      </c>
      <c r="B4" s="8" t="inlineStr">
        <is>
          <t>Benchmark Suite</t>
        </is>
      </c>
      <c r="C4" s="8" t="inlineStr">
        <is>
          <t>Version</t>
        </is>
      </c>
      <c r="D4" s="8" t="inlineStr">
        <is>
          <t>Score</t>
        </is>
      </c>
      <c r="E4" s="8" t="inlineStr">
        <is>
          <t>Unit</t>
        </is>
      </c>
      <c r="F4" s="8" t="inlineStr">
        <is>
          <t>Evaluation Harness</t>
        </is>
      </c>
      <c r="G4" s="8" t="inlineStr">
        <is>
          <t>Reasoning Mode</t>
        </is>
      </c>
      <c r="H4" s="8" t="inlineStr">
        <is>
          <t>Reported By</t>
        </is>
      </c>
      <c r="I4" s="8" t="inlineStr">
        <is>
          <t>Benchmark Cost ($)</t>
        </is>
      </c>
    </row>
    <row r="5">
      <c r="A5" s="4" t="inlineStr">
        <is>
          <t>claude-opus-5.5</t>
        </is>
      </c>
      <c r="B5" s="4" t="inlineStr">
        <is>
          <t>SWE-bench Pro</t>
        </is>
      </c>
      <c r="C5" s="26" t="inlineStr">
        <is>
          <t>v1.2-2026</t>
        </is>
      </c>
      <c r="D5" s="36" t="n">
        <v>89.90000000000001</v>
      </c>
      <c r="E5" s="26" t="inlineStr">
        <is>
          <t>% resolved</t>
        </is>
      </c>
      <c r="F5" s="4" t="inlineStr">
        <is>
          <t>mini-swe-agent / Claude Code CLI</t>
        </is>
      </c>
      <c r="G5" s="26" t="inlineStr">
        <is>
          <t>high</t>
        </is>
      </c>
      <c r="H5" s="26" t="inlineStr">
        <is>
          <t>independent</t>
        </is>
      </c>
      <c r="I5" s="37" t="n">
        <v>2.85</v>
      </c>
    </row>
    <row r="6">
      <c r="A6" s="29" t="inlineStr">
        <is>
          <t>claude-sonnet-5.5</t>
        </is>
      </c>
      <c r="B6" s="29" t="inlineStr">
        <is>
          <t>SWE-bench Pro</t>
        </is>
      </c>
      <c r="C6" s="31" t="inlineStr">
        <is>
          <t>v1.2-2026</t>
        </is>
      </c>
      <c r="D6" s="38" t="n">
        <v>81.3</v>
      </c>
      <c r="E6" s="31" t="inlineStr">
        <is>
          <t>% resolved</t>
        </is>
      </c>
      <c r="F6" s="29" t="inlineStr">
        <is>
          <t>mini-swe-agent</t>
        </is>
      </c>
      <c r="G6" s="31" t="inlineStr">
        <is>
          <t>high</t>
        </is>
      </c>
      <c r="H6" s="31" t="inlineStr">
        <is>
          <t>independent</t>
        </is>
      </c>
      <c r="I6" s="39" t="n">
        <v>1.45</v>
      </c>
    </row>
    <row r="7">
      <c r="A7" s="4" t="inlineStr">
        <is>
          <t>claude-fable-5.1</t>
        </is>
      </c>
      <c r="B7" s="4" t="inlineStr">
        <is>
          <t>SWE-bench Pro</t>
        </is>
      </c>
      <c r="C7" s="26" t="inlineStr">
        <is>
          <t>v1.2-2026</t>
        </is>
      </c>
      <c r="D7" s="36" t="n">
        <v>81.2</v>
      </c>
      <c r="E7" s="26" t="inlineStr">
        <is>
          <t>% resolved</t>
        </is>
      </c>
      <c r="F7" s="4" t="inlineStr">
        <is>
          <t>mini-swe-agent</t>
        </is>
      </c>
      <c r="G7" s="26" t="inlineStr">
        <is>
          <t>max</t>
        </is>
      </c>
      <c r="H7" s="26" t="inlineStr">
        <is>
          <t>independent</t>
        </is>
      </c>
      <c r="I7" s="37" t="n">
        <v>6.8</v>
      </c>
    </row>
    <row r="8">
      <c r="A8" s="29" t="inlineStr">
        <is>
          <t>gpt-6-astra</t>
        </is>
      </c>
      <c r="B8" s="29" t="inlineStr">
        <is>
          <t>SWE-bench Pro</t>
        </is>
      </c>
      <c r="C8" s="31" t="inlineStr">
        <is>
          <t>v1.2-2026</t>
        </is>
      </c>
      <c r="D8" s="38" t="n">
        <v>81.5</v>
      </c>
      <c r="E8" s="31" t="inlineStr">
        <is>
          <t>% resolved</t>
        </is>
      </c>
      <c r="F8" s="29" t="inlineStr">
        <is>
          <t>swe-agent</t>
        </is>
      </c>
      <c r="G8" s="31" t="inlineStr">
        <is>
          <t>high</t>
        </is>
      </c>
      <c r="H8" s="31" t="inlineStr">
        <is>
          <t>vendor</t>
        </is>
      </c>
      <c r="I8" s="39" t="n">
        <v>7.2</v>
      </c>
    </row>
    <row r="9">
      <c r="A9" s="4" t="inlineStr">
        <is>
          <t>gpt-6-sol</t>
        </is>
      </c>
      <c r="B9" s="4" t="inlineStr">
        <is>
          <t>SWE-bench Pro</t>
        </is>
      </c>
      <c r="C9" s="26" t="inlineStr">
        <is>
          <t>v1.2-2026</t>
        </is>
      </c>
      <c r="D9" s="36" t="n">
        <v>77.8</v>
      </c>
      <c r="E9" s="26" t="inlineStr">
        <is>
          <t>% resolved</t>
        </is>
      </c>
      <c r="F9" s="4" t="inlineStr">
        <is>
          <t>swe-agent</t>
        </is>
      </c>
      <c r="G9" s="26" t="inlineStr">
        <is>
          <t>medium</t>
        </is>
      </c>
      <c r="H9" s="26" t="inlineStr">
        <is>
          <t>vendor</t>
        </is>
      </c>
      <c r="I9" s="37" t="n">
        <v>1.85</v>
      </c>
    </row>
    <row r="10">
      <c r="A10" s="29" t="inlineStr">
        <is>
          <t>deepseek-v4-pro</t>
        </is>
      </c>
      <c r="B10" s="29" t="inlineStr">
        <is>
          <t>SWE-bench Pro</t>
        </is>
      </c>
      <c r="C10" s="31" t="inlineStr">
        <is>
          <t>v1.2-2026</t>
        </is>
      </c>
      <c r="D10" s="38" t="n">
        <v>78.40000000000001</v>
      </c>
      <c r="E10" s="31" t="inlineStr">
        <is>
          <t>% resolved</t>
        </is>
      </c>
      <c r="F10" s="29" t="inlineStr">
        <is>
          <t>swe-agent-open</t>
        </is>
      </c>
      <c r="G10" s="31" t="inlineStr">
        <is>
          <t>high</t>
        </is>
      </c>
      <c r="H10" s="31" t="inlineStr">
        <is>
          <t>independent</t>
        </is>
      </c>
      <c r="I10" s="39" t="n">
        <v>0.78</v>
      </c>
    </row>
    <row r="11">
      <c r="A11" s="4" t="inlineStr">
        <is>
          <t>deepseek-v4.1-flash</t>
        </is>
      </c>
      <c r="B11" s="4" t="inlineStr">
        <is>
          <t>SWE-bench Pro</t>
        </is>
      </c>
      <c r="C11" s="26" t="inlineStr">
        <is>
          <t>v1.2-2026</t>
        </is>
      </c>
      <c r="D11" s="36" t="n">
        <v>72.5</v>
      </c>
      <c r="E11" s="26" t="inlineStr">
        <is>
          <t>% resolved</t>
        </is>
      </c>
      <c r="F11" s="4" t="inlineStr">
        <is>
          <t>swe-agent-open</t>
        </is>
      </c>
      <c r="G11" s="26" t="inlineStr">
        <is>
          <t>standard</t>
        </is>
      </c>
      <c r="H11" s="26" t="inlineStr">
        <is>
          <t>independent</t>
        </is>
      </c>
      <c r="I11" s="37" t="n">
        <v>0.28</v>
      </c>
    </row>
    <row r="12">
      <c r="A12" s="29" t="inlineStr">
        <is>
          <t>qwen3.8-27b</t>
        </is>
      </c>
      <c r="B12" s="29" t="inlineStr">
        <is>
          <t>SWE-bench Pro</t>
        </is>
      </c>
      <c r="C12" s="31" t="inlineStr">
        <is>
          <t>v1.2-2026</t>
        </is>
      </c>
      <c r="D12" s="38" t="n">
        <v>68.2</v>
      </c>
      <c r="E12" s="31" t="inlineStr">
        <is>
          <t>% resolved</t>
        </is>
      </c>
      <c r="F12" s="29" t="inlineStr">
        <is>
          <t>swe-agent-open</t>
        </is>
      </c>
      <c r="G12" s="31" t="inlineStr">
        <is>
          <t>standard</t>
        </is>
      </c>
      <c r="H12" s="31" t="inlineStr">
        <is>
          <t>independent</t>
        </is>
      </c>
      <c r="I12" s="39" t="n">
        <v>0.45</v>
      </c>
    </row>
    <row r="13">
      <c r="A13" s="4" t="inlineStr">
        <is>
          <t>claude-opus-5.5</t>
        </is>
      </c>
      <c r="B13" s="4" t="inlineStr">
        <is>
          <t>AA Intelligence Index</t>
        </is>
      </c>
      <c r="C13" s="26" t="inlineStr">
        <is>
          <t>v4.3.2</t>
        </is>
      </c>
      <c r="D13" s="36" t="n">
        <v>57.6</v>
      </c>
      <c r="E13" s="26" t="inlineStr">
        <is>
          <t>index score</t>
        </is>
      </c>
      <c r="F13" s="4" t="inlineStr">
        <is>
          <t>AA standardized harness</t>
        </is>
      </c>
      <c r="G13" s="26" t="inlineStr">
        <is>
          <t>high</t>
        </is>
      </c>
      <c r="H13" s="26" t="inlineStr">
        <is>
          <t>independent</t>
        </is>
      </c>
      <c r="I13" s="37" t="n">
        <v>4.12</v>
      </c>
    </row>
    <row r="14">
      <c r="A14" s="29" t="inlineStr">
        <is>
          <t>claude-sonnet-5.5</t>
        </is>
      </c>
      <c r="B14" s="29" t="inlineStr">
        <is>
          <t>AA Intelligence Index</t>
        </is>
      </c>
      <c r="C14" s="31" t="inlineStr">
        <is>
          <t>v4.3.2</t>
        </is>
      </c>
      <c r="D14" s="38" t="n">
        <v>56</v>
      </c>
      <c r="E14" s="31" t="inlineStr">
        <is>
          <t>index score</t>
        </is>
      </c>
      <c r="F14" s="29" t="inlineStr">
        <is>
          <t>AA standardized harness</t>
        </is>
      </c>
      <c r="G14" s="31" t="inlineStr">
        <is>
          <t>high</t>
        </is>
      </c>
      <c r="H14" s="31" t="inlineStr">
        <is>
          <t>independent</t>
        </is>
      </c>
      <c r="I14" s="39" t="n">
        <v>1.95</v>
      </c>
    </row>
    <row r="15">
      <c r="A15" s="4" t="inlineStr">
        <is>
          <t>gpt-6-astra</t>
        </is>
      </c>
      <c r="B15" s="4" t="inlineStr">
        <is>
          <t>AA Intelligence Index</t>
        </is>
      </c>
      <c r="C15" s="26" t="inlineStr">
        <is>
          <t>v4.3.2</t>
        </is>
      </c>
      <c r="D15" s="36" t="n">
        <v>55.8</v>
      </c>
      <c r="E15" s="26" t="inlineStr">
        <is>
          <t>index score</t>
        </is>
      </c>
      <c r="F15" s="4" t="inlineStr">
        <is>
          <t>AA standardized harness</t>
        </is>
      </c>
      <c r="G15" s="26" t="inlineStr">
        <is>
          <t>high</t>
        </is>
      </c>
      <c r="H15" s="26" t="inlineStr">
        <is>
          <t>independent</t>
        </is>
      </c>
      <c r="I15" s="37" t="n">
        <v>8.4</v>
      </c>
    </row>
    <row r="16">
      <c r="A16" s="29" t="inlineStr">
        <is>
          <t>deepseek-v4-pro</t>
        </is>
      </c>
      <c r="B16" s="29" t="inlineStr">
        <is>
          <t>AA Intelligence Index</t>
        </is>
      </c>
      <c r="C16" s="31" t="inlineStr">
        <is>
          <t>v4.3.2</t>
        </is>
      </c>
      <c r="D16" s="38" t="n">
        <v>54.2</v>
      </c>
      <c r="E16" s="31" t="inlineStr">
        <is>
          <t>index score</t>
        </is>
      </c>
      <c r="F16" s="29" t="inlineStr">
        <is>
          <t>AA standardized harness</t>
        </is>
      </c>
      <c r="G16" s="31" t="inlineStr">
        <is>
          <t>high</t>
        </is>
      </c>
      <c r="H16" s="31" t="inlineStr">
        <is>
          <t>independent</t>
        </is>
      </c>
      <c r="I16" s="39" t="n">
        <v>0.82</v>
      </c>
    </row>
    <row r="17">
      <c r="A17" s="4" t="inlineStr">
        <is>
          <t>gemini-4-argon</t>
        </is>
      </c>
      <c r="B17" s="4" t="inlineStr">
        <is>
          <t>AA Intelligence Index</t>
        </is>
      </c>
      <c r="C17" s="26" t="inlineStr">
        <is>
          <t>v4.3.2</t>
        </is>
      </c>
      <c r="D17" s="36" t="n">
        <v>54.5</v>
      </c>
      <c r="E17" s="26" t="inlineStr">
        <is>
          <t>index score</t>
        </is>
      </c>
      <c r="F17" s="4" t="inlineStr">
        <is>
          <t>AA standardized harness</t>
        </is>
      </c>
      <c r="G17" s="26" t="inlineStr">
        <is>
          <t>high</t>
        </is>
      </c>
      <c r="H17" s="26" t="inlineStr">
        <is>
          <t>independent</t>
        </is>
      </c>
      <c r="I17" s="37" t="n">
        <v>2.1</v>
      </c>
    </row>
    <row r="18">
      <c r="A18" s="29" t="inlineStr">
        <is>
          <t>deepseek-v4.1-flash</t>
        </is>
      </c>
      <c r="B18" s="29" t="inlineStr">
        <is>
          <t>AA Intelligence Index</t>
        </is>
      </c>
      <c r="C18" s="31" t="inlineStr">
        <is>
          <t>v4.3.2</t>
        </is>
      </c>
      <c r="D18" s="38" t="n">
        <v>51.8</v>
      </c>
      <c r="E18" s="31" t="inlineStr">
        <is>
          <t>index score</t>
        </is>
      </c>
      <c r="F18" s="29" t="inlineStr">
        <is>
          <t>AA standardized harness</t>
        </is>
      </c>
      <c r="G18" s="31" t="inlineStr">
        <is>
          <t>standard</t>
        </is>
      </c>
      <c r="H18" s="31" t="inlineStr">
        <is>
          <t>independent</t>
        </is>
      </c>
      <c r="I18" s="39" t="n">
        <v>0.22</v>
      </c>
    </row>
    <row r="19">
      <c r="A19" s="4" t="inlineStr">
        <is>
          <t>claude-opus-5.5</t>
        </is>
      </c>
      <c r="B19" s="4" t="inlineStr">
        <is>
          <t>Terminal-Bench 4.0</t>
        </is>
      </c>
      <c r="C19" s="26" t="inlineStr">
        <is>
          <t>v4.0</t>
        </is>
      </c>
      <c r="D19" s="36" t="n">
        <v>88.40000000000001</v>
      </c>
      <c r="E19" s="26" t="inlineStr">
        <is>
          <t>% tasks completed</t>
        </is>
      </c>
      <c r="F19" s="4" t="inlineStr">
        <is>
          <t>tbench-cli</t>
        </is>
      </c>
      <c r="G19" s="26" t="inlineStr">
        <is>
          <t>high</t>
        </is>
      </c>
      <c r="H19" s="26" t="inlineStr">
        <is>
          <t>independent</t>
        </is>
      </c>
      <c r="I19" s="37" t="n">
        <v>1.95</v>
      </c>
    </row>
    <row r="20">
      <c r="A20" s="29" t="inlineStr">
        <is>
          <t>gpt-6-astra</t>
        </is>
      </c>
      <c r="B20" s="29" t="inlineStr">
        <is>
          <t>Terminal-Bench 4.0</t>
        </is>
      </c>
      <c r="C20" s="31" t="inlineStr">
        <is>
          <t>v4.0</t>
        </is>
      </c>
      <c r="D20" s="38" t="n">
        <v>87.90000000000001</v>
      </c>
      <c r="E20" s="31" t="inlineStr">
        <is>
          <t>% tasks completed</t>
        </is>
      </c>
      <c r="F20" s="29" t="inlineStr">
        <is>
          <t>tbench-cli</t>
        </is>
      </c>
      <c r="G20" s="31" t="inlineStr">
        <is>
          <t>high</t>
        </is>
      </c>
      <c r="H20" s="31" t="inlineStr">
        <is>
          <t>independent</t>
        </is>
      </c>
      <c r="I20" s="39" t="n">
        <v>3.8</v>
      </c>
    </row>
    <row r="21">
      <c r="A21" s="4" t="inlineStr">
        <is>
          <t>claude-sonnet-5.5</t>
        </is>
      </c>
      <c r="B21" s="4" t="inlineStr">
        <is>
          <t>Terminal-Bench 4.0</t>
        </is>
      </c>
      <c r="C21" s="26" t="inlineStr">
        <is>
          <t>v4.0</t>
        </is>
      </c>
      <c r="D21" s="36" t="n">
        <v>84.59999999999999</v>
      </c>
      <c r="E21" s="26" t="inlineStr">
        <is>
          <t>% tasks completed</t>
        </is>
      </c>
      <c r="F21" s="4" t="inlineStr">
        <is>
          <t>tbench-cli</t>
        </is>
      </c>
      <c r="G21" s="26" t="inlineStr">
        <is>
          <t>high</t>
        </is>
      </c>
      <c r="H21" s="26" t="inlineStr">
        <is>
          <t>independent</t>
        </is>
      </c>
      <c r="I21" s="37" t="n">
        <v>1.1</v>
      </c>
    </row>
    <row r="22">
      <c r="A22" s="29" t="inlineStr">
        <is>
          <t>deepseek-v4-pro</t>
        </is>
      </c>
      <c r="B22" s="29" t="inlineStr">
        <is>
          <t>Terminal-Bench 4.0</t>
        </is>
      </c>
      <c r="C22" s="31" t="inlineStr">
        <is>
          <t>v4.0</t>
        </is>
      </c>
      <c r="D22" s="38" t="n">
        <v>81.2</v>
      </c>
      <c r="E22" s="31" t="inlineStr">
        <is>
          <t>% tasks completed</t>
        </is>
      </c>
      <c r="F22" s="29" t="inlineStr">
        <is>
          <t>tbench-cli</t>
        </is>
      </c>
      <c r="G22" s="31" t="inlineStr">
        <is>
          <t>high</t>
        </is>
      </c>
      <c r="H22" s="31" t="inlineStr">
        <is>
          <t>independent</t>
        </is>
      </c>
      <c r="I22" s="39" t="n">
        <v>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0" customWidth="1" min="3" max="3"/>
    <col width="16" customWidth="1" min="4" max="4"/>
    <col width="15" customWidth="1" min="5" max="5"/>
    <col width="14" customWidth="1" min="6" max="6"/>
    <col width="19" customWidth="1" min="7" max="7"/>
    <col width="16" customWidth="1" min="8" max="8"/>
    <col width="15" customWidth="1" min="9" max="9"/>
    <col width="13" customWidth="1" min="10" max="10"/>
    <col width="17" customWidth="1" min="11" max="11"/>
  </cols>
  <sheetData>
    <row r="1">
      <c r="A1" s="1" t="inlineStr">
        <is>
          <t>SEVEN REPRESENTATIVE INFERENCE WORKLOAD SPECIFICATIONS</t>
        </is>
      </c>
    </row>
    <row r="2">
      <c r="A2" s="2" t="inlineStr">
        <is>
          <t>Input, prompt caching, reasoning, output, steps, and baseline completion criteria</t>
        </is>
      </c>
    </row>
    <row r="3"/>
    <row r="4">
      <c r="A4" s="8" t="inlineStr">
        <is>
          <t>Workload ID</t>
        </is>
      </c>
      <c r="B4" s="8" t="inlineStr">
        <is>
          <t>Workload Name</t>
        </is>
      </c>
      <c r="C4" s="8" t="inlineStr">
        <is>
          <t>Description</t>
        </is>
      </c>
      <c r="D4" s="8" t="inlineStr">
        <is>
          <t>Dynamic Input</t>
        </is>
      </c>
      <c r="E4" s="8" t="inlineStr">
        <is>
          <t>Cached Input</t>
        </is>
      </c>
      <c r="F4" s="8" t="inlineStr">
        <is>
          <t>Cache Hit %</t>
        </is>
      </c>
      <c r="G4" s="8" t="inlineStr">
        <is>
          <t>Reasoning Tokens</t>
        </is>
      </c>
      <c r="H4" s="8" t="inlineStr">
        <is>
          <t>Output Tokens</t>
        </is>
      </c>
      <c r="I4" s="8" t="inlineStr">
        <is>
          <t>Steps / Task</t>
        </is>
      </c>
      <c r="J4" s="8" t="inlineStr">
        <is>
          <t>Tool Calls</t>
        </is>
      </c>
      <c r="K4" s="8" t="inlineStr">
        <is>
          <t>Base Success %</t>
        </is>
      </c>
    </row>
    <row r="5">
      <c r="A5" s="9" t="inlineStr">
        <is>
          <t>W1</t>
        </is>
      </c>
      <c r="B5" s="13" t="inlineStr">
        <is>
          <t>Simple Chat / Fast Extraction</t>
        </is>
      </c>
      <c r="C5" s="13" t="inlineStr">
        <is>
          <t>Classification and fast entity extraction</t>
        </is>
      </c>
      <c r="D5" s="16" t="n">
        <v>1000</v>
      </c>
      <c r="E5" s="16" t="n">
        <v>0</v>
      </c>
      <c r="F5" s="40" t="n">
        <v>0</v>
      </c>
      <c r="G5" s="16" t="n">
        <v>0</v>
      </c>
      <c r="H5" s="16" t="n">
        <v>200</v>
      </c>
      <c r="I5" s="9" t="n">
        <v>1</v>
      </c>
      <c r="J5" s="9" t="n">
        <v>0</v>
      </c>
      <c r="K5" s="40" t="n">
        <v>0.98</v>
      </c>
    </row>
    <row r="6">
      <c r="A6" s="9" t="inlineStr">
        <is>
          <t>W2</t>
        </is>
      </c>
      <c r="B6" s="13" t="inlineStr">
        <is>
          <t>Interactive Coding Assistant</t>
        </is>
      </c>
      <c r="C6" s="13" t="inlineStr">
        <is>
          <t>Multi-turn code editing with repository context</t>
        </is>
      </c>
      <c r="D6" s="16" t="n">
        <v>5000</v>
      </c>
      <c r="E6" s="16" t="n">
        <v>20000</v>
      </c>
      <c r="F6" s="40" t="n">
        <v>0.8</v>
      </c>
      <c r="G6" s="16" t="n">
        <v>0</v>
      </c>
      <c r="H6" s="16" t="n">
        <v>800</v>
      </c>
      <c r="I6" s="9" t="n">
        <v>8</v>
      </c>
      <c r="J6" s="9" t="n">
        <v>7</v>
      </c>
      <c r="K6" s="40" t="n">
        <v>0.85</v>
      </c>
    </row>
    <row r="7">
      <c r="A7" s="9" t="inlineStr">
        <is>
          <t>W3</t>
        </is>
      </c>
      <c r="B7" s="13" t="inlineStr">
        <is>
          <t>Long-Context Codebase Audit</t>
        </is>
      </c>
      <c r="C7" s="13" t="inlineStr">
        <is>
          <t>Full repository architecture and vulnerability audit</t>
        </is>
      </c>
      <c r="D7" s="16" t="n">
        <v>30000</v>
      </c>
      <c r="E7" s="16" t="n">
        <v>120000</v>
      </c>
      <c r="F7" s="40" t="n">
        <v>0.8</v>
      </c>
      <c r="G7" s="16" t="n">
        <v>0</v>
      </c>
      <c r="H7" s="16" t="n">
        <v>4000</v>
      </c>
      <c r="I7" s="9" t="n">
        <v>2</v>
      </c>
      <c r="J7" s="9" t="n">
        <v>2</v>
      </c>
      <c r="K7" s="40" t="n">
        <v>0.9</v>
      </c>
    </row>
    <row r="8">
      <c r="A8" s="9" t="inlineStr">
        <is>
          <t>W4</t>
        </is>
      </c>
      <c r="B8" s="13" t="inlineStr">
        <is>
          <t>Agentic Reasoning Workflow</t>
        </is>
      </c>
      <c r="C8" s="13" t="inlineStr">
        <is>
          <t>Deep planning and formal mathematical verification</t>
        </is>
      </c>
      <c r="D8" s="16" t="n">
        <v>10000</v>
      </c>
      <c r="E8" s="16" t="n">
        <v>30000</v>
      </c>
      <c r="F8" s="40" t="n">
        <v>0.75</v>
      </c>
      <c r="G8" s="16" t="n">
        <v>12000</v>
      </c>
      <c r="H8" s="16" t="n">
        <v>2500</v>
      </c>
      <c r="I8" s="9" t="n">
        <v>6</v>
      </c>
      <c r="J8" s="9" t="n">
        <v>5</v>
      </c>
      <c r="K8" s="40" t="n">
        <v>0.8</v>
      </c>
    </row>
    <row r="9">
      <c r="A9" s="9" t="inlineStr">
        <is>
          <t>W5</t>
        </is>
      </c>
      <c r="B9" s="13" t="inlineStr">
        <is>
          <t>High-Volume Batch Processing</t>
        </is>
      </c>
      <c r="C9" s="13" t="inlineStr">
        <is>
          <t>Offline synthetic dataset and document generation</t>
        </is>
      </c>
      <c r="D9" s="16" t="n">
        <v>3000</v>
      </c>
      <c r="E9" s="16" t="n">
        <v>0</v>
      </c>
      <c r="F9" s="40" t="n">
        <v>0</v>
      </c>
      <c r="G9" s="16" t="n">
        <v>0</v>
      </c>
      <c r="H9" s="16" t="n">
        <v>600</v>
      </c>
      <c r="I9" s="9" t="n">
        <v>1</v>
      </c>
      <c r="J9" s="9" t="n">
        <v>0</v>
      </c>
      <c r="K9" s="40" t="n">
        <v>0.95</v>
      </c>
    </row>
    <row r="10">
      <c r="A10" s="9" t="inlineStr">
        <is>
          <t>W6</t>
        </is>
      </c>
      <c r="B10" s="13" t="inlineStr">
        <is>
          <t>Autonomous SWE Agent</t>
        </is>
      </c>
      <c r="C10" s="13" t="inlineStr">
        <is>
          <t>End-to-end repository issue repair (SWE-bench trajectory)</t>
        </is>
      </c>
      <c r="D10" s="16" t="n">
        <v>100000</v>
      </c>
      <c r="E10" s="16" t="n">
        <v>580000</v>
      </c>
      <c r="F10" s="40" t="n">
        <v>0.85</v>
      </c>
      <c r="G10" s="16" t="n">
        <v>8000</v>
      </c>
      <c r="H10" s="16" t="n">
        <v>22000</v>
      </c>
      <c r="I10" s="9" t="n">
        <v>28</v>
      </c>
      <c r="J10" s="9" t="n">
        <v>25</v>
      </c>
      <c r="K10" s="40" t="n">
        <v>0.82</v>
      </c>
    </row>
    <row r="11">
      <c r="A11" s="9" t="inlineStr">
        <is>
          <t>W7</t>
        </is>
      </c>
      <c r="B11" s="13" t="inlineStr">
        <is>
          <t>Enterprise Mixed Workload</t>
        </is>
      </c>
      <c r="C11" s="13" t="inlineStr">
        <is>
          <t>Continuous API queries with heavy prompt caching</t>
        </is>
      </c>
      <c r="D11" s="16" t="n">
        <v>4000</v>
      </c>
      <c r="E11" s="16" t="n">
        <v>90000</v>
      </c>
      <c r="F11" s="40" t="n">
        <v>0.95</v>
      </c>
      <c r="G11" s="16" t="n">
        <v>0</v>
      </c>
      <c r="H11" s="16" t="n">
        <v>1200</v>
      </c>
      <c r="I11" s="9" t="n">
        <v>1</v>
      </c>
      <c r="J11" s="9" t="n">
        <v>1</v>
      </c>
      <c r="K11" s="40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6" customWidth="1" min="4" max="4"/>
    <col width="15" customWidth="1" min="5" max="5"/>
    <col width="12" customWidth="1" min="6" max="6"/>
    <col width="13" customWidth="1" min="7" max="7"/>
    <col width="12" customWidth="1" min="8" max="8"/>
    <col width="13" customWidth="1" min="9" max="9"/>
    <col width="50" customWidth="1" min="10" max="10"/>
    <col width="15" customWidth="1" min="11" max="11"/>
    <col width="28" customWidth="1" min="12" max="12"/>
    <col width="20" customWidth="1" min="13" max="13"/>
    <col width="24" customWidth="1" min="14" max="14"/>
  </cols>
  <sheetData>
    <row r="1">
      <c r="A1" s="1" t="inlineStr">
        <is>
          <t>DYNAMIC WORKLOAD COST CALCULATOR</t>
        </is>
      </c>
    </row>
    <row r="2">
      <c r="A2" s="2" t="inlineStr">
        <is>
          <t>Live formula-driven task cost evaluation linking inputs, cache read rates, and success probabilities</t>
        </is>
      </c>
    </row>
    <row r="3"/>
    <row r="4">
      <c r="A4" s="8" t="inlineStr">
        <is>
          <t>Workload ID</t>
        </is>
      </c>
      <c r="B4" s="8" t="inlineStr">
        <is>
          <t>Model Key</t>
        </is>
      </c>
      <c r="C4" s="8" t="inlineStr">
        <is>
          <t>Input $/Mtok</t>
        </is>
      </c>
      <c r="D4" s="8" t="inlineStr">
        <is>
          <t>Output $/Mtok</t>
        </is>
      </c>
      <c r="E4" s="8" t="inlineStr">
        <is>
          <t>Cache $/Mtok</t>
        </is>
      </c>
      <c r="F4" s="8" t="inlineStr">
        <is>
          <t>Steps</t>
        </is>
      </c>
      <c r="G4" s="8" t="inlineStr">
        <is>
          <t>Dynamic In</t>
        </is>
      </c>
      <c r="H4" s="8" t="inlineStr">
        <is>
          <t>Cached In</t>
        </is>
      </c>
      <c r="I4" s="8" t="inlineStr">
        <is>
          <t>Output Tok</t>
        </is>
      </c>
      <c r="J4" s="8" t="inlineStr">
        <is>
          <t>Cost per Attempt ($)</t>
        </is>
      </c>
      <c r="K4" s="8" t="inlineStr">
        <is>
          <t>Success Rate</t>
        </is>
      </c>
      <c r="L4" s="8" t="inlineStr">
        <is>
          <t>Quality-Adjusted Cost ($)</t>
        </is>
      </c>
      <c r="M4" s="8" t="inlineStr">
        <is>
          <t>Human Penalty ($)</t>
        </is>
      </c>
      <c r="N4" s="8" t="inlineStr">
        <is>
          <t>Fully Loaded Cost ($)</t>
        </is>
      </c>
    </row>
    <row r="5">
      <c r="A5" s="31" t="inlineStr">
        <is>
          <t>W2</t>
        </is>
      </c>
      <c r="B5" s="29" t="inlineStr">
        <is>
          <t>Claude Sonnet 5.5</t>
        </is>
      </c>
      <c r="C5" s="39" t="n">
        <v>2</v>
      </c>
      <c r="D5" s="39" t="n">
        <v>10</v>
      </c>
      <c r="E5" s="39" t="n">
        <v>0.1</v>
      </c>
      <c r="F5" s="31" t="n">
        <v>8</v>
      </c>
      <c r="G5" s="30" t="n">
        <v>5000</v>
      </c>
      <c r="H5" s="30" t="n">
        <v>20000</v>
      </c>
      <c r="I5" s="30" t="n">
        <v>800</v>
      </c>
      <c r="J5" s="41">
        <f>(G5*F5*C5 + H5*F5*E5 + I5*F5*D5)/1000000</f>
        <v/>
      </c>
      <c r="K5" s="42" t="n">
        <v>0.8129999999999999</v>
      </c>
      <c r="L5" s="41">
        <f>J5/K5</f>
        <v/>
      </c>
      <c r="M5" s="39">
        <f>(1-K5)*30.0</f>
        <v/>
      </c>
      <c r="N5" s="43">
        <f>L5+M5</f>
        <v/>
      </c>
    </row>
    <row r="6">
      <c r="A6" s="26" t="inlineStr">
        <is>
          <t>W2</t>
        </is>
      </c>
      <c r="B6" s="4" t="inlineStr">
        <is>
          <t>GPT-6 Sol</t>
        </is>
      </c>
      <c r="C6" s="37" t="n">
        <v>2</v>
      </c>
      <c r="D6" s="37" t="n">
        <v>10</v>
      </c>
      <c r="E6" s="37" t="n">
        <v>0.1</v>
      </c>
      <c r="F6" s="26" t="n">
        <v>8</v>
      </c>
      <c r="G6" s="25" t="n">
        <v>5000</v>
      </c>
      <c r="H6" s="25" t="n">
        <v>20000</v>
      </c>
      <c r="I6" s="25" t="n">
        <v>800</v>
      </c>
      <c r="J6" s="44">
        <f>(G6*F6*C6 + H6*F6*E6 + I6*F6*D6)/1000000</f>
        <v/>
      </c>
      <c r="K6" s="45" t="n">
        <v>0.778</v>
      </c>
      <c r="L6" s="44">
        <f>J6/K6</f>
        <v/>
      </c>
      <c r="M6" s="37">
        <f>(1-K6)*30.0</f>
        <v/>
      </c>
      <c r="N6" s="46">
        <f>L6+M6</f>
        <v/>
      </c>
    </row>
    <row r="7">
      <c r="A7" s="31" t="inlineStr">
        <is>
          <t>W2</t>
        </is>
      </c>
      <c r="B7" s="29" t="inlineStr">
        <is>
          <t>DeepSeek V4.1 Flash</t>
        </is>
      </c>
      <c r="C7" s="39" t="n">
        <v>0.12</v>
      </c>
      <c r="D7" s="39" t="n">
        <v>0.24</v>
      </c>
      <c r="E7" s="39" t="n">
        <v>0</v>
      </c>
      <c r="F7" s="31" t="n">
        <v>8</v>
      </c>
      <c r="G7" s="30" t="n">
        <v>5000</v>
      </c>
      <c r="H7" s="30" t="n">
        <v>20000</v>
      </c>
      <c r="I7" s="30" t="n">
        <v>800</v>
      </c>
      <c r="J7" s="41">
        <f>(G7*F7*C7 + H7*F7*E7 + I7*F7*D7)/1000000</f>
        <v/>
      </c>
      <c r="K7" s="42" t="n">
        <v>0.725</v>
      </c>
      <c r="L7" s="41">
        <f>J7/K7</f>
        <v/>
      </c>
      <c r="M7" s="39">
        <f>(1-K7)*30.0</f>
        <v/>
      </c>
      <c r="N7" s="43">
        <f>L7+M7</f>
        <v/>
      </c>
    </row>
    <row r="8">
      <c r="A8" s="26" t="inlineStr">
        <is>
          <t>W2</t>
        </is>
      </c>
      <c r="B8" s="4" t="inlineStr">
        <is>
          <t>Claude Opus 5.5</t>
        </is>
      </c>
      <c r="C8" s="37" t="n">
        <v>4</v>
      </c>
      <c r="D8" s="37" t="n">
        <v>20</v>
      </c>
      <c r="E8" s="37" t="n">
        <v>0.2</v>
      </c>
      <c r="F8" s="26" t="n">
        <v>8</v>
      </c>
      <c r="G8" s="25" t="n">
        <v>5000</v>
      </c>
      <c r="H8" s="25" t="n">
        <v>20000</v>
      </c>
      <c r="I8" s="25" t="n">
        <v>800</v>
      </c>
      <c r="J8" s="44">
        <f>(G8*F8*C8 + H8*F8*E8 + I8*F8*D8)/1000000</f>
        <v/>
      </c>
      <c r="K8" s="45" t="n">
        <v>0.899</v>
      </c>
      <c r="L8" s="44">
        <f>J8/K8</f>
        <v/>
      </c>
      <c r="M8" s="37">
        <f>(1-K8)*30.0</f>
        <v/>
      </c>
      <c r="N8" s="46">
        <f>L8+M8</f>
        <v/>
      </c>
    </row>
    <row r="9">
      <c r="A9" s="31" t="inlineStr">
        <is>
          <t>W6</t>
        </is>
      </c>
      <c r="B9" s="29" t="inlineStr">
        <is>
          <t>Claude Opus 5.5</t>
        </is>
      </c>
      <c r="C9" s="39" t="n">
        <v>4</v>
      </c>
      <c r="D9" s="39" t="n">
        <v>20</v>
      </c>
      <c r="E9" s="39" t="n">
        <v>0.2</v>
      </c>
      <c r="F9" s="31" t="n">
        <v>28</v>
      </c>
      <c r="G9" s="30" t="n">
        <v>100000</v>
      </c>
      <c r="H9" s="30" t="n">
        <v>580000</v>
      </c>
      <c r="I9" s="30" t="n">
        <v>30000</v>
      </c>
      <c r="J9" s="41">
        <f>(G9*F9*C9 + H9*F9*E9 + I9*F9*D9)/1000000</f>
        <v/>
      </c>
      <c r="K9" s="42" t="n">
        <v>0.899</v>
      </c>
      <c r="L9" s="41">
        <f>J9/K9</f>
        <v/>
      </c>
      <c r="M9" s="39">
        <f>(1-K9)*30.0</f>
        <v/>
      </c>
      <c r="N9" s="43">
        <f>L9+M9</f>
        <v/>
      </c>
    </row>
    <row r="10">
      <c r="A10" s="26" t="inlineStr">
        <is>
          <t>W6</t>
        </is>
      </c>
      <c r="B10" s="4" t="inlineStr">
        <is>
          <t>Claude Sonnet 5.5</t>
        </is>
      </c>
      <c r="C10" s="37" t="n">
        <v>2</v>
      </c>
      <c r="D10" s="37" t="n">
        <v>10</v>
      </c>
      <c r="E10" s="37" t="n">
        <v>0.1</v>
      </c>
      <c r="F10" s="26" t="n">
        <v>28</v>
      </c>
      <c r="G10" s="25" t="n">
        <v>100000</v>
      </c>
      <c r="H10" s="25" t="n">
        <v>580000</v>
      </c>
      <c r="I10" s="25" t="n">
        <v>30000</v>
      </c>
      <c r="J10" s="44">
        <f>(G10*F10*C10 + H10*F10*E10 + I10*F10*D10)/1000000</f>
        <v/>
      </c>
      <c r="K10" s="45" t="n">
        <v>0.8129999999999999</v>
      </c>
      <c r="L10" s="44">
        <f>J10/K10</f>
        <v/>
      </c>
      <c r="M10" s="37">
        <f>(1-K10)*30.0</f>
        <v/>
      </c>
      <c r="N10" s="46">
        <f>L10+M10</f>
        <v/>
      </c>
    </row>
    <row r="11">
      <c r="A11" s="31" t="inlineStr">
        <is>
          <t>W6</t>
        </is>
      </c>
      <c r="B11" s="29" t="inlineStr">
        <is>
          <t>GPT-6 Astra</t>
        </is>
      </c>
      <c r="C11" s="39" t="n">
        <v>10</v>
      </c>
      <c r="D11" s="39" t="n">
        <v>50</v>
      </c>
      <c r="E11" s="39" t="n">
        <v>1</v>
      </c>
      <c r="F11" s="31" t="n">
        <v>28</v>
      </c>
      <c r="G11" s="30" t="n">
        <v>100000</v>
      </c>
      <c r="H11" s="30" t="n">
        <v>580000</v>
      </c>
      <c r="I11" s="30" t="n">
        <v>30000</v>
      </c>
      <c r="J11" s="41">
        <f>(G11*F11*C11 + H11*F11*E11 + I11*F11*D11)/1000000</f>
        <v/>
      </c>
      <c r="K11" s="42" t="n">
        <v>0.8149999999999999</v>
      </c>
      <c r="L11" s="41">
        <f>J11/K11</f>
        <v/>
      </c>
      <c r="M11" s="39">
        <f>(1-K11)*30.0</f>
        <v/>
      </c>
      <c r="N11" s="43">
        <f>L11+M11</f>
        <v/>
      </c>
    </row>
    <row r="12">
      <c r="A12" s="26" t="inlineStr">
        <is>
          <t>W6</t>
        </is>
      </c>
      <c r="B12" s="4" t="inlineStr">
        <is>
          <t>GPT-6 Sol</t>
        </is>
      </c>
      <c r="C12" s="37" t="n">
        <v>2</v>
      </c>
      <c r="D12" s="37" t="n">
        <v>10</v>
      </c>
      <c r="E12" s="37" t="n">
        <v>0.1</v>
      </c>
      <c r="F12" s="26" t="n">
        <v>28</v>
      </c>
      <c r="G12" s="25" t="n">
        <v>100000</v>
      </c>
      <c r="H12" s="25" t="n">
        <v>580000</v>
      </c>
      <c r="I12" s="25" t="n">
        <v>30000</v>
      </c>
      <c r="J12" s="44">
        <f>(G12*F12*C12 + H12*F12*E12 + I12*F12*D12)/1000000</f>
        <v/>
      </c>
      <c r="K12" s="45" t="n">
        <v>0.778</v>
      </c>
      <c r="L12" s="44">
        <f>J12/K12</f>
        <v/>
      </c>
      <c r="M12" s="37">
        <f>(1-K12)*30.0</f>
        <v/>
      </c>
      <c r="N12" s="46">
        <f>L12+M12</f>
        <v/>
      </c>
    </row>
    <row r="13">
      <c r="A13" s="31" t="inlineStr">
        <is>
          <t>W6</t>
        </is>
      </c>
      <c r="B13" s="29" t="inlineStr">
        <is>
          <t>DeepSeek V4 Pro</t>
        </is>
      </c>
      <c r="C13" s="39" t="n">
        <v>0.22</v>
      </c>
      <c r="D13" s="39" t="n">
        <v>0.66</v>
      </c>
      <c r="E13" s="39" t="n">
        <v>0.022</v>
      </c>
      <c r="F13" s="31" t="n">
        <v>28</v>
      </c>
      <c r="G13" s="30" t="n">
        <v>100000</v>
      </c>
      <c r="H13" s="30" t="n">
        <v>580000</v>
      </c>
      <c r="I13" s="30" t="n">
        <v>30000</v>
      </c>
      <c r="J13" s="41">
        <f>(G13*F13*C13 + H13*F13*E13 + I13*F13*D13)/1000000</f>
        <v/>
      </c>
      <c r="K13" s="42" t="n">
        <v>0.784</v>
      </c>
      <c r="L13" s="41">
        <f>J13/K13</f>
        <v/>
      </c>
      <c r="M13" s="39">
        <f>(1-K13)*30.0</f>
        <v/>
      </c>
      <c r="N13" s="43">
        <f>L13+M13</f>
        <v/>
      </c>
    </row>
    <row r="14">
      <c r="A14" s="26" t="inlineStr">
        <is>
          <t>W6</t>
        </is>
      </c>
      <c r="B14" s="4" t="inlineStr">
        <is>
          <t>DeepSeek V4.1 Flash</t>
        </is>
      </c>
      <c r="C14" s="37" t="n">
        <v>0.12</v>
      </c>
      <c r="D14" s="37" t="n">
        <v>0.24</v>
      </c>
      <c r="E14" s="37" t="n">
        <v>0</v>
      </c>
      <c r="F14" s="26" t="n">
        <v>28</v>
      </c>
      <c r="G14" s="25" t="n">
        <v>100000</v>
      </c>
      <c r="H14" s="25" t="n">
        <v>580000</v>
      </c>
      <c r="I14" s="25" t="n">
        <v>30000</v>
      </c>
      <c r="J14" s="44">
        <f>(G14*F14*C14 + H14*F14*E14 + I14*F14*D14)/1000000</f>
        <v/>
      </c>
      <c r="K14" s="45" t="n">
        <v>0.725</v>
      </c>
      <c r="L14" s="44">
        <f>J14/K14</f>
        <v/>
      </c>
      <c r="M14" s="37">
        <f>(1-K14)*30.0</f>
        <v/>
      </c>
      <c r="N14" s="46">
        <f>L14+M14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12" customWidth="1" min="4" max="4"/>
    <col width="21" customWidth="1" min="5" max="5"/>
    <col width="22" customWidth="1" min="6" max="6"/>
    <col width="19" customWidth="1" min="7" max="7"/>
    <col width="17" customWidth="1" min="8" max="8"/>
    <col width="12" customWidth="1" min="9" max="9"/>
    <col width="48" customWidth="1" min="10" max="10"/>
    <col width="16" customWidth="1" min="11" max="11"/>
    <col width="24" customWidth="1" min="12" max="12"/>
    <col width="13" customWidth="1" min="13" max="13"/>
    <col width="30" customWidth="1" min="14" max="14"/>
    <col width="18" customWidth="1" min="15" max="15"/>
  </cols>
  <sheetData>
    <row r="1">
      <c r="A1" s="1" t="inlineStr">
        <is>
          <t>LOCAL HARDWARE TOTAL COST OF OWNERSHIP (TCO) &amp; AMORTIZATION</t>
        </is>
      </c>
    </row>
    <row r="2">
      <c r="A2" s="2" t="inlineStr">
        <is>
          <t>Capital depreciation, financing (8% WACC), electricity ($0.128/kWh), and cost per million tokens</t>
        </is>
      </c>
    </row>
    <row r="3"/>
    <row r="4">
      <c r="A4" s="8" t="inlineStr">
        <is>
          <t>Hardware Product</t>
        </is>
      </c>
      <c r="B4" s="8" t="inlineStr">
        <is>
          <t>Purchase Price ($)</t>
        </is>
      </c>
      <c r="C4" s="8" t="inlineStr">
        <is>
          <t>Useful Life (Mo)</t>
        </is>
      </c>
      <c r="D4" s="8" t="inlineStr">
        <is>
          <t>Salvage %</t>
        </is>
      </c>
      <c r="E4" s="8" t="inlineStr">
        <is>
          <t>Monthly Deprec ($)</t>
        </is>
      </c>
      <c r="F4" s="8" t="inlineStr">
        <is>
          <t>Monthly Finance ($)</t>
        </is>
      </c>
      <c r="G4" s="8" t="inlineStr">
        <is>
          <t>Active Power (W)</t>
        </is>
      </c>
      <c r="H4" s="8" t="inlineStr">
        <is>
          <t>Idle Power (W)</t>
        </is>
      </c>
      <c r="I4" s="8" t="inlineStr">
        <is>
          <t>Util %</t>
        </is>
      </c>
      <c r="J4" s="8" t="inlineStr">
        <is>
          <t>Monthly Elec ($)</t>
        </is>
      </c>
      <c r="K4" s="8" t="inlineStr">
        <is>
          <t>Admin/Net ($)</t>
        </is>
      </c>
      <c r="L4" s="8" t="inlineStr">
        <is>
          <t>Total Monthly TCO ($)</t>
        </is>
      </c>
      <c r="M4" s="8" t="inlineStr">
        <is>
          <t>Decode TPS</t>
        </is>
      </c>
      <c r="N4" s="8" t="inlineStr">
        <is>
          <t>Monthly Tokens (M)</t>
        </is>
      </c>
      <c r="O4" s="8" t="inlineStr">
        <is>
          <t>Cost / Mtok ($)</t>
        </is>
      </c>
    </row>
    <row r="5">
      <c r="A5" s="29" t="inlineStr">
        <is>
          <t>Mac Studio M5 Max (128GB)</t>
        </is>
      </c>
      <c r="B5" s="39" t="n">
        <v>3499</v>
      </c>
      <c r="C5" s="31" t="n">
        <v>36</v>
      </c>
      <c r="D5" s="42" t="n">
        <v>0.2</v>
      </c>
      <c r="E5" s="39">
        <f>(B5*(1-D5))/C5</f>
        <v/>
      </c>
      <c r="F5" s="39">
        <f>(B5*0.08)/12</f>
        <v/>
      </c>
      <c r="G5" s="33" t="n">
        <v>95</v>
      </c>
      <c r="H5" s="33" t="n">
        <v>12</v>
      </c>
      <c r="I5" s="42" t="n">
        <v>0.5</v>
      </c>
      <c r="J5" s="39">
        <f>((I5*G5 + (1-I5)*H5)*1.1*730/1000)*0.128</f>
        <v/>
      </c>
      <c r="K5" s="39" t="n">
        <v>80</v>
      </c>
      <c r="L5" s="47">
        <f>E5+F5+J5+K5</f>
        <v/>
      </c>
      <c r="M5" s="33" t="n">
        <v>16.8</v>
      </c>
      <c r="N5" s="48">
        <f>(730*3600*M5*I5)/1000000</f>
        <v/>
      </c>
      <c r="O5" s="43">
        <f>L5/N5</f>
        <v/>
      </c>
    </row>
    <row r="6">
      <c r="A6" s="4" t="inlineStr">
        <is>
          <t>Mac Studio M5 Ultra (256GB)</t>
        </is>
      </c>
      <c r="B6" s="37" t="n">
        <v>5499</v>
      </c>
      <c r="C6" s="26" t="n">
        <v>36</v>
      </c>
      <c r="D6" s="45" t="n">
        <v>0.2</v>
      </c>
      <c r="E6" s="37">
        <f>(B6*(1-D6))/C6</f>
        <v/>
      </c>
      <c r="F6" s="37">
        <f>(B6*0.08)/12</f>
        <v/>
      </c>
      <c r="G6" s="28" t="n">
        <v>180</v>
      </c>
      <c r="H6" s="28" t="n">
        <v>18</v>
      </c>
      <c r="I6" s="45" t="n">
        <v>0.5</v>
      </c>
      <c r="J6" s="37">
        <f>((I6*G6 + (1-I6)*H6)*1.1*730/1000)*0.128</f>
        <v/>
      </c>
      <c r="K6" s="37" t="n">
        <v>80</v>
      </c>
      <c r="L6" s="49">
        <f>E6+F6+J6+K6</f>
        <v/>
      </c>
      <c r="M6" s="28" t="n">
        <v>32.5</v>
      </c>
      <c r="N6" s="50">
        <f>(730*3600*M6*I6)/1000000</f>
        <v/>
      </c>
      <c r="O6" s="46">
        <f>L6/N6</f>
        <v/>
      </c>
    </row>
    <row r="7">
      <c r="A7" s="29" t="inlineStr">
        <is>
          <t>Mac Studio M5 Ultra (512GB)</t>
        </is>
      </c>
      <c r="B7" s="39" t="n">
        <v>8999</v>
      </c>
      <c r="C7" s="31" t="n">
        <v>36</v>
      </c>
      <c r="D7" s="42" t="n">
        <v>0.2</v>
      </c>
      <c r="E7" s="39">
        <f>(B7*(1-D7))/C7</f>
        <v/>
      </c>
      <c r="F7" s="39">
        <f>(B7*0.08)/12</f>
        <v/>
      </c>
      <c r="G7" s="33" t="n">
        <v>205</v>
      </c>
      <c r="H7" s="33" t="n">
        <v>22</v>
      </c>
      <c r="I7" s="42" t="n">
        <v>0.5</v>
      </c>
      <c r="J7" s="39">
        <f>((I7*G7 + (1-I7)*H7)*1.1*730/1000)*0.128</f>
        <v/>
      </c>
      <c r="K7" s="39" t="n">
        <v>80</v>
      </c>
      <c r="L7" s="47">
        <f>E7+F7+J7+K7</f>
        <v/>
      </c>
      <c r="M7" s="33" t="n">
        <v>32.5</v>
      </c>
      <c r="N7" s="48">
        <f>(730*3600*M7*I7)/1000000</f>
        <v/>
      </c>
      <c r="O7" s="43">
        <f>L7/N7</f>
        <v/>
      </c>
    </row>
    <row r="8">
      <c r="A8" s="4" t="inlineStr">
        <is>
          <t>Dual Mac Studio Ultra Cluster (512GB)</t>
        </is>
      </c>
      <c r="B8" s="37" t="n">
        <v>11098</v>
      </c>
      <c r="C8" s="26" t="n">
        <v>36</v>
      </c>
      <c r="D8" s="45" t="n">
        <v>0.2</v>
      </c>
      <c r="E8" s="37">
        <f>(B8*(1-D8))/C8</f>
        <v/>
      </c>
      <c r="F8" s="37">
        <f>(B8*0.08)/12</f>
        <v/>
      </c>
      <c r="G8" s="28" t="n">
        <v>360</v>
      </c>
      <c r="H8" s="28" t="n">
        <v>36</v>
      </c>
      <c r="I8" s="45" t="n">
        <v>0.5</v>
      </c>
      <c r="J8" s="37">
        <f>((I8*G8 + (1-I8)*H8)*1.1*730/1000)*0.128</f>
        <v/>
      </c>
      <c r="K8" s="37" t="n">
        <v>120</v>
      </c>
      <c r="L8" s="49">
        <f>E8+F8+J8+K8</f>
        <v/>
      </c>
      <c r="M8" s="28" t="n">
        <v>62</v>
      </c>
      <c r="N8" s="50">
        <f>(730*3600*M8*I8)/1000000</f>
        <v/>
      </c>
      <c r="O8" s="46">
        <f>L8/N8</f>
        <v/>
      </c>
    </row>
    <row r="9">
      <c r="A9" s="29" t="inlineStr">
        <is>
          <t>NVIDIA DGX Spark (128GB)</t>
        </is>
      </c>
      <c r="B9" s="39" t="n">
        <v>6950</v>
      </c>
      <c r="C9" s="31" t="n">
        <v>36</v>
      </c>
      <c r="D9" s="42" t="n">
        <v>0.2</v>
      </c>
      <c r="E9" s="39">
        <f>(B9*(1-D9))/C9</f>
        <v/>
      </c>
      <c r="F9" s="39">
        <f>(B9*0.08)/12</f>
        <v/>
      </c>
      <c r="G9" s="33" t="n">
        <v>120</v>
      </c>
      <c r="H9" s="33" t="n">
        <v>25</v>
      </c>
      <c r="I9" s="42" t="n">
        <v>0.5</v>
      </c>
      <c r="J9" s="39">
        <f>((I9*G9 + (1-I9)*H9)*1.1*730/1000)*0.128</f>
        <v/>
      </c>
      <c r="K9" s="39" t="n">
        <v>80</v>
      </c>
      <c r="L9" s="47">
        <f>E9+F9+J9+K9</f>
        <v/>
      </c>
      <c r="M9" s="33" t="n">
        <v>14.2</v>
      </c>
      <c r="N9" s="48">
        <f>(730*3600*M9*I9)/1000000</f>
        <v/>
      </c>
      <c r="O9" s="43">
        <f>L9/N9</f>
        <v/>
      </c>
    </row>
    <row r="10">
      <c r="A10" s="4" t="inlineStr">
        <is>
          <t>Dual DGX Spark Cluster (256GB)</t>
        </is>
      </c>
      <c r="B10" s="37" t="n">
        <v>14050</v>
      </c>
      <c r="C10" s="26" t="n">
        <v>36</v>
      </c>
      <c r="D10" s="45" t="n">
        <v>0.2</v>
      </c>
      <c r="E10" s="37">
        <f>(B10*(1-D10))/C10</f>
        <v/>
      </c>
      <c r="F10" s="37">
        <f>(B10*0.08)/12</f>
        <v/>
      </c>
      <c r="G10" s="28" t="n">
        <v>240</v>
      </c>
      <c r="H10" s="28" t="n">
        <v>50</v>
      </c>
      <c r="I10" s="45" t="n">
        <v>0.5</v>
      </c>
      <c r="J10" s="37">
        <f>((I10*G10 + (1-I10)*H10)*1.1*730/1000)*0.128</f>
        <v/>
      </c>
      <c r="K10" s="37" t="n">
        <v>120</v>
      </c>
      <c r="L10" s="49">
        <f>E10+F10+J10+K10</f>
        <v/>
      </c>
      <c r="M10" s="28" t="n">
        <v>26</v>
      </c>
      <c r="N10" s="50">
        <f>(730*3600*M10*I10)/1000000</f>
        <v/>
      </c>
      <c r="O10" s="46">
        <f>L10/N10</f>
        <v/>
      </c>
    </row>
    <row r="11">
      <c r="A11" s="29" t="inlineStr">
        <is>
          <t>4x RTX PRO 6000 Server (384GB)</t>
        </is>
      </c>
      <c r="B11" s="39" t="n">
        <v>32200</v>
      </c>
      <c r="C11" s="31" t="n">
        <v>36</v>
      </c>
      <c r="D11" s="42" t="n">
        <v>0.2</v>
      </c>
      <c r="E11" s="39">
        <f>(B11*(1-D11))/C11</f>
        <v/>
      </c>
      <c r="F11" s="39">
        <f>(B11*0.08)/12</f>
        <v/>
      </c>
      <c r="G11" s="33" t="n">
        <v>1350</v>
      </c>
      <c r="H11" s="33" t="n">
        <v>180</v>
      </c>
      <c r="I11" s="42" t="n">
        <v>0.5</v>
      </c>
      <c r="J11" s="39">
        <f>((I11*G11 + (1-I11)*H11)*1.1*730/1000)*0.128</f>
        <v/>
      </c>
      <c r="K11" s="39" t="n">
        <v>350</v>
      </c>
      <c r="L11" s="47">
        <f>E11+F11+J11+K11</f>
        <v/>
      </c>
      <c r="M11" s="33" t="n">
        <v>360</v>
      </c>
      <c r="N11" s="48">
        <f>(730*3600*M11*I11)/1000000</f>
        <v/>
      </c>
      <c r="O11" s="43">
        <f>L11/N11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2" customWidth="1" min="3" max="3"/>
    <col width="13" customWidth="1" min="4" max="4"/>
    <col width="32" customWidth="1" min="5" max="5"/>
    <col width="33" customWidth="1" min="6" max="6"/>
    <col width="27" customWidth="1" min="7" max="7"/>
    <col width="31" customWidth="1" min="8" max="8"/>
    <col width="26" customWidth="1" min="9" max="9"/>
    <col width="39" customWidth="1" min="10" max="10"/>
  </cols>
  <sheetData>
    <row r="1">
      <c r="A1" s="1" t="inlineStr">
        <is>
          <t>PROVIDER UNIT ECONOMICS &amp; SUPPLY SIDE MARGINS</t>
        </is>
      </c>
    </row>
    <row r="2">
      <c r="A2" s="2" t="inlineStr">
        <is>
          <t>Marginal electricity cost vs market clearing price, platform fee, and net operator cashflow</t>
        </is>
      </c>
    </row>
    <row r="3"/>
    <row r="4">
      <c r="A4" s="8" t="inlineStr">
        <is>
          <t>Provider Category</t>
        </is>
      </c>
      <c r="B4" s="8" t="inlineStr">
        <is>
          <t>Hardware</t>
        </is>
      </c>
      <c r="C4" s="8" t="inlineStr">
        <is>
          <t>Model Served</t>
        </is>
      </c>
      <c r="D4" s="8" t="inlineStr">
        <is>
          <t>Decode TPS</t>
        </is>
      </c>
      <c r="E4" s="8" t="inlineStr">
        <is>
          <t>Marginal Electricity ($/Mtok)</t>
        </is>
      </c>
      <c r="F4" s="8" t="inlineStr">
        <is>
          <t>Market Clearing Price ($/Mtok)</t>
        </is>
      </c>
      <c r="G4" s="8" t="inlineStr">
        <is>
          <t>IE Platform Fee ($/Mtok)</t>
        </is>
      </c>
      <c r="H4" s="8" t="inlineStr">
        <is>
          <t>Provider Net Margin ($/Mtok)</t>
        </is>
      </c>
      <c r="I4" s="8" t="inlineStr">
        <is>
          <t>Operator Gross Margin %</t>
        </is>
      </c>
      <c r="J4" s="8" t="inlineStr">
        <is>
          <t>Monthly Net Cashflow ($ at 50% Util)</t>
        </is>
      </c>
    </row>
    <row r="5">
      <c r="A5" s="4" t="inlineStr">
        <is>
          <t>Prosumer Mac Studio M5 Ultra (256GB)</t>
        </is>
      </c>
      <c r="B5" s="4" t="inlineStr">
        <is>
          <t>Dedicated Local Node</t>
        </is>
      </c>
      <c r="C5" s="4" t="inlineStr">
        <is>
          <t>deepseek-v4.1-flash</t>
        </is>
      </c>
      <c r="D5" s="28" t="n">
        <v>48</v>
      </c>
      <c r="E5" s="51" t="n">
        <v>0.1661</v>
      </c>
      <c r="F5" s="37" t="n">
        <v>0.2</v>
      </c>
      <c r="G5" s="51">
        <f>F5*0.05</f>
        <v/>
      </c>
      <c r="H5" s="44">
        <f>F5-G5-E5</f>
        <v/>
      </c>
      <c r="I5" s="45">
        <f>H5/(F5-G5)</f>
        <v/>
      </c>
      <c r="J5" s="37" t="n">
        <v>1.5</v>
      </c>
    </row>
    <row r="6">
      <c r="A6" s="29" t="inlineStr">
        <is>
          <t>Developer DGX Spark (128GB)</t>
        </is>
      </c>
      <c r="B6" s="29" t="inlineStr">
        <is>
          <t>Dedicated Local Node</t>
        </is>
      </c>
      <c r="C6" s="29" t="inlineStr">
        <is>
          <t>qwen3.8-27b</t>
        </is>
      </c>
      <c r="D6" s="33" t="n">
        <v>22</v>
      </c>
      <c r="E6" s="52" t="n">
        <v>0.2133</v>
      </c>
      <c r="F6" s="39" t="n">
        <v>0.6</v>
      </c>
      <c r="G6" s="52">
        <f>F6*0.05</f>
        <v/>
      </c>
      <c r="H6" s="41">
        <f>F6-G6-E6</f>
        <v/>
      </c>
      <c r="I6" s="42">
        <f>H6/(F6-G6)</f>
        <v/>
      </c>
      <c r="J6" s="39" t="n">
        <v>10.31</v>
      </c>
    </row>
    <row r="7">
      <c r="A7" s="4" t="inlineStr">
        <is>
          <t>Private 4x RTX PRO 6000 Workstation</t>
        </is>
      </c>
      <c r="B7" s="4" t="inlineStr">
        <is>
          <t>Dedicated Local Node</t>
        </is>
      </c>
      <c r="C7" s="4" t="inlineStr">
        <is>
          <t>deepseek-v4.1-flash</t>
        </is>
      </c>
      <c r="D7" s="28" t="n">
        <v>360</v>
      </c>
      <c r="E7" s="51" t="n">
        <v>0.1063</v>
      </c>
      <c r="F7" s="37" t="n">
        <v>0.2</v>
      </c>
      <c r="G7" s="51">
        <f>F7*0.05</f>
        <v/>
      </c>
      <c r="H7" s="44">
        <f>F7-G7-E7</f>
        <v/>
      </c>
      <c r="I7" s="45">
        <f>H7/(F7-G7)</f>
        <v/>
      </c>
      <c r="J7" s="37" t="n">
        <v>39.62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4" customWidth="1" min="4" max="4"/>
    <col width="25" customWidth="1" min="5" max="5"/>
    <col width="23" customWidth="1" min="6" max="6"/>
    <col width="21" customWidth="1" min="7" max="7"/>
    <col width="26" customWidth="1" min="8" max="8"/>
  </cols>
  <sheetData>
    <row r="1">
      <c r="A1" s="1" t="inlineStr">
        <is>
          <t>INFERENCE EXCHANGE MARKETPLACE ARBITRAGE &amp; TAKE RATE MODEL</t>
        </is>
      </c>
    </row>
    <row r="2">
      <c r="A2" s="2" t="inlineStr">
        <is>
          <t>Level 2 cross-venue spread arbitrage, router take rate (5%), and consumer savings</t>
        </is>
      </c>
    </row>
    <row r="3"/>
    <row r="4">
      <c r="A4" s="8" t="inlineStr">
        <is>
          <t>Instrument</t>
        </is>
      </c>
      <c r="B4" s="8" t="inlineStr">
        <is>
          <t>Cheapest Venue</t>
        </is>
      </c>
      <c r="C4" s="8" t="inlineStr">
        <is>
          <t>Best Offer ($/Mtok)</t>
        </is>
      </c>
      <c r="D4" s="8" t="inlineStr">
        <is>
          <t>Median Venue ($/Mtok)</t>
        </is>
      </c>
      <c r="E4" s="8" t="inlineStr">
        <is>
          <t>Highest Venue ($/Mtok)</t>
        </is>
      </c>
      <c r="F4" s="8" t="inlineStr">
        <is>
          <t>Cross-Venue Spread %</t>
        </is>
      </c>
      <c r="G4" s="8" t="inlineStr">
        <is>
          <t>Consumer Savings %</t>
        </is>
      </c>
      <c r="H4" s="8" t="inlineStr">
        <is>
          <t>IE Fee Revenue ($/Mtok)</t>
        </is>
      </c>
    </row>
    <row r="5">
      <c r="A5" s="29" t="inlineStr">
        <is>
          <t>LLAMA-3.1-8B</t>
        </is>
      </c>
      <c r="B5" s="29" t="inlineStr">
        <is>
          <t>novita</t>
        </is>
      </c>
      <c r="C5" s="39" t="n">
        <v>0.05</v>
      </c>
      <c r="D5" s="39" t="n">
        <v>0.08</v>
      </c>
      <c r="E5" s="39" t="n">
        <v>0.18</v>
      </c>
      <c r="F5" s="53">
        <f>(E5-C5)/C5</f>
        <v/>
      </c>
      <c r="G5" s="54">
        <f>(D5-C5)/D5</f>
        <v/>
      </c>
      <c r="H5" s="52">
        <f>C5*0.05</f>
        <v/>
      </c>
    </row>
    <row r="6">
      <c r="A6" s="4" t="inlineStr">
        <is>
          <t>LLAMA-3.1-70B</t>
        </is>
      </c>
      <c r="B6" s="4" t="inlineStr">
        <is>
          <t>novita</t>
        </is>
      </c>
      <c r="C6" s="37" t="n">
        <v>0.35</v>
      </c>
      <c r="D6" s="37" t="n">
        <v>0.5</v>
      </c>
      <c r="E6" s="37" t="n">
        <v>0.9</v>
      </c>
      <c r="F6" s="55">
        <f>(E6-C6)/C6</f>
        <v/>
      </c>
      <c r="G6" s="56">
        <f>(D6-C6)/D6</f>
        <v/>
      </c>
      <c r="H6" s="51">
        <f>C6*0.05</f>
        <v/>
      </c>
    </row>
    <row r="7">
      <c r="A7" s="29" t="inlineStr">
        <is>
          <t>LLAMA-3.3-70B</t>
        </is>
      </c>
      <c r="B7" s="29" t="inlineStr">
        <is>
          <t>novita</t>
        </is>
      </c>
      <c r="C7" s="39" t="n">
        <v>0.3</v>
      </c>
      <c r="D7" s="39" t="n">
        <v>0.38</v>
      </c>
      <c r="E7" s="39" t="n">
        <v>0.79</v>
      </c>
      <c r="F7" s="53">
        <f>(E7-C7)/C7</f>
        <v/>
      </c>
      <c r="G7" s="54">
        <f>(D7-C7)/D7</f>
        <v/>
      </c>
      <c r="H7" s="52">
        <f>C7*0.05</f>
        <v/>
      </c>
    </row>
    <row r="8">
      <c r="A8" s="4" t="inlineStr">
        <is>
          <t>DEEPSEEK-V4.1-FLASH</t>
        </is>
      </c>
      <c r="B8" s="4" t="inlineStr">
        <is>
          <t>novita</t>
        </is>
      </c>
      <c r="C8" s="37" t="n">
        <v>0.24</v>
      </c>
      <c r="D8" s="37" t="n">
        <v>0.28</v>
      </c>
      <c r="E8" s="37" t="n">
        <v>0.6</v>
      </c>
      <c r="F8" s="55">
        <f>(E8-C8)/C8</f>
        <v/>
      </c>
      <c r="G8" s="56">
        <f>(D8-C8)/D8</f>
        <v/>
      </c>
      <c r="H8" s="51">
        <f>C8*0.05</f>
        <v/>
      </c>
    </row>
    <row r="9">
      <c r="A9" s="29" t="inlineStr">
        <is>
          <t>DEEPSEEK-R1</t>
        </is>
      </c>
      <c r="B9" s="29" t="inlineStr">
        <is>
          <t>community-drops</t>
        </is>
      </c>
      <c r="C9" s="39" t="n">
        <v>0.7</v>
      </c>
      <c r="D9" s="39" t="n">
        <v>2.19</v>
      </c>
      <c r="E9" s="39" t="n">
        <v>2.5</v>
      </c>
      <c r="F9" s="53">
        <f>(E9-C9)/C9</f>
        <v/>
      </c>
      <c r="G9" s="54">
        <f>(D9-C9)/D9</f>
        <v/>
      </c>
      <c r="H9" s="52">
        <f>C9*0.05</f>
        <v/>
      </c>
    </row>
    <row r="10">
      <c r="A10" s="4" t="inlineStr">
        <is>
          <t>QWEN3.8-27B</t>
        </is>
      </c>
      <c r="B10" s="4" t="inlineStr">
        <is>
          <t>siliconflow</t>
        </is>
      </c>
      <c r="C10" s="37" t="n">
        <v>0.4</v>
      </c>
      <c r="D10" s="37" t="n">
        <v>1.35</v>
      </c>
      <c r="E10" s="37" t="n">
        <v>5.25</v>
      </c>
      <c r="F10" s="55">
        <f>(E10-C10)/C10</f>
        <v/>
      </c>
      <c r="G10" s="56">
        <f>(D10-C10)/D10</f>
        <v/>
      </c>
      <c r="H10" s="51">
        <f>C10*0.05</f>
        <v/>
      </c>
    </row>
    <row r="11">
      <c r="A11" s="29" t="inlineStr">
        <is>
          <t>QWEN3.5-397B</t>
        </is>
      </c>
      <c r="B11" s="29" t="inlineStr">
        <is>
          <t>deepinfra</t>
        </is>
      </c>
      <c r="C11" s="39" t="n">
        <v>3.5</v>
      </c>
      <c r="D11" s="39" t="n">
        <v>4.5</v>
      </c>
      <c r="E11" s="39" t="n">
        <v>6</v>
      </c>
      <c r="F11" s="53">
        <f>(E11-C11)/C11</f>
        <v/>
      </c>
      <c r="G11" s="54">
        <f>(D11-C11)/D11</f>
        <v/>
      </c>
      <c r="H11" s="52">
        <f>C11*0.05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7" customWidth="1" min="3" max="3"/>
    <col width="34" customWidth="1" min="4" max="4"/>
    <col width="37" customWidth="1" min="5" max="5"/>
    <col width="50" customWidth="1" min="6" max="6"/>
    <col width="23" customWidth="1" min="7" max="7"/>
  </cols>
  <sheetData>
    <row r="1">
      <c r="A1" s="1" t="inlineStr">
        <is>
          <t>MULTI-VARIABLE SENSITIVITY &amp; THRESHOLD ANALYSIS</t>
        </is>
      </c>
    </row>
    <row r="2">
      <c r="A2" s="2" t="inlineStr">
        <is>
          <t>Testing thesis robustness against API price drops, utilization swings, and electricity shocks</t>
        </is>
      </c>
    </row>
    <row r="3"/>
    <row r="4">
      <c r="A4" s="8" t="inlineStr">
        <is>
          <t>Assumption Tested</t>
        </is>
      </c>
      <c r="B4" s="8" t="inlineStr">
        <is>
          <t>Base Value</t>
        </is>
      </c>
      <c r="C4" s="8" t="inlineStr">
        <is>
          <t>Stressed Value</t>
        </is>
      </c>
      <c r="D4" s="8" t="inlineStr">
        <is>
          <t>Impact on Hardware TCO ($/Mtok)</t>
        </is>
      </c>
      <c r="E4" s="8" t="inlineStr">
        <is>
          <t>Impact on Monthly Advantage ($/mo)</t>
        </is>
      </c>
      <c r="F4" s="8" t="inlineStr">
        <is>
          <t>Thesis Invalidation Threshold</t>
        </is>
      </c>
      <c r="G4" s="8" t="inlineStr">
        <is>
          <t>Sensitivity Severity</t>
        </is>
      </c>
    </row>
    <row r="5">
      <c r="A5" s="14" t="inlineStr">
        <is>
          <t>Frontier API Price Drops (-50%)</t>
        </is>
      </c>
      <c r="B5" s="14" t="inlineStr">
        <is>
          <t>Sonnet $10.00/Mtok</t>
        </is>
      </c>
      <c r="C5" s="14" t="inlineStr">
        <is>
          <t>$5.00/Mtok</t>
        </is>
      </c>
      <c r="D5" s="14" t="inlineStr">
        <is>
          <t>No change on hardware</t>
        </is>
      </c>
      <c r="E5" s="14" t="inlineStr">
        <is>
          <t>-$365.00 / month</t>
        </is>
      </c>
      <c r="F5" s="14" t="inlineStr">
        <is>
          <t>API price &lt;$3.20/Mtok invalidates hardware advantage</t>
        </is>
      </c>
      <c r="G5" s="57" t="inlineStr">
        <is>
          <t>HIGH</t>
        </is>
      </c>
    </row>
    <row r="6">
      <c r="A6" s="13" t="inlineStr">
        <is>
          <t>Frontier API Price Drops (-75%)</t>
        </is>
      </c>
      <c r="B6" s="13" t="inlineStr">
        <is>
          <t>Sonnet $10.00/Mtok</t>
        </is>
      </c>
      <c r="C6" s="13" t="inlineStr">
        <is>
          <t>$2.50/Mtok</t>
        </is>
      </c>
      <c r="D6" s="13" t="inlineStr">
        <is>
          <t>No change on hardware</t>
        </is>
      </c>
      <c r="E6" s="13" t="inlineStr">
        <is>
          <t>-$547.00 / month</t>
        </is>
      </c>
      <c r="F6" s="13" t="inlineStr">
        <is>
          <t>Hardware advantage completely eliminated</t>
        </is>
      </c>
      <c r="G6" s="58" t="inlineStr">
        <is>
          <t>CRITICAL</t>
        </is>
      </c>
    </row>
    <row r="7">
      <c r="A7" s="14" t="inlineStr">
        <is>
          <t>Productive Utilization Drops to 10%</t>
        </is>
      </c>
      <c r="B7" s="14" t="inlineStr">
        <is>
          <t>50% Util (42.7M tok)</t>
        </is>
      </c>
      <c r="C7" s="14" t="inlineStr">
        <is>
          <t>10% Util (8.5M tok)</t>
        </is>
      </c>
      <c r="D7" s="14" t="inlineStr">
        <is>
          <t>+$21.08 / Mtok</t>
        </is>
      </c>
      <c r="E7" s="14" t="inlineStr">
        <is>
          <t>-$420.00 / month</t>
        </is>
      </c>
      <c r="F7" s="14" t="inlineStr">
        <is>
          <t>Utilization &lt;26.3% makes APIs cheaper</t>
        </is>
      </c>
      <c r="G7" s="57" t="inlineStr">
        <is>
          <t>HIGH</t>
        </is>
      </c>
    </row>
    <row r="8">
      <c r="A8" s="13" t="inlineStr">
        <is>
          <t>Productive Utilization Rises to 90%</t>
        </is>
      </c>
      <c r="B8" s="13" t="inlineStr">
        <is>
          <t>50% Util (42.7M tok)</t>
        </is>
      </c>
      <c r="C8" s="13" t="inlineStr">
        <is>
          <t>90% Util (76.8M tok)</t>
        </is>
      </c>
      <c r="D8" s="13" t="inlineStr">
        <is>
          <t>-$2.34 / Mtok</t>
        </is>
      </c>
      <c r="E8" s="13" t="inlineStr">
        <is>
          <t>+$140.00 / month</t>
        </is>
      </c>
      <c r="F8" s="13" t="inlineStr">
        <is>
          <t>Dramatically expands hardware profitability</t>
        </is>
      </c>
      <c r="G8" s="9" t="inlineStr">
        <is>
          <t>POSITIVE</t>
        </is>
      </c>
    </row>
    <row r="9">
      <c r="A9" s="14" t="inlineStr">
        <is>
          <t>Electricity Rates Rise to California Peak</t>
        </is>
      </c>
      <c r="B9" s="14" t="inlineStr">
        <is>
          <t>$0.128 / kWh</t>
        </is>
      </c>
      <c r="C9" s="14" t="inlineStr">
        <is>
          <t>$0.307 / kWh</t>
        </is>
      </c>
      <c r="D9" s="14" t="inlineStr">
        <is>
          <t>+$0.02 / Mtok</t>
        </is>
      </c>
      <c r="E9" s="14" t="inlineStr">
        <is>
          <t>-$22.00 / month</t>
        </is>
      </c>
      <c r="F9" s="14" t="inlineStr">
        <is>
          <t>Electricity price &gt;$1.85/kWh (negligible effect)</t>
        </is>
      </c>
      <c r="G9" s="59" t="inlineStr">
        <is>
          <t>LOW</t>
        </is>
      </c>
    </row>
    <row r="10">
      <c r="A10" s="13" t="inlineStr">
        <is>
          <t>Human Intervention Required on Failures</t>
        </is>
      </c>
      <c r="B10" s="13" t="inlineStr">
        <is>
          <t>0% Debugging ($0)</t>
        </is>
      </c>
      <c r="C10" s="13" t="inlineStr">
        <is>
          <t>20% Debugging ($30/fail)</t>
        </is>
      </c>
      <c r="D10" s="13" t="inlineStr">
        <is>
          <t>No change on tokens</t>
        </is>
      </c>
      <c r="E10" s="13" t="inlineStr">
        <is>
          <t>+$360.00 / month for frontier</t>
        </is>
      </c>
      <c r="F10" s="13" t="inlineStr">
        <is>
          <t>Low quality open models become economically unviable</t>
        </is>
      </c>
      <c r="G10" s="58" t="inlineStr">
        <is>
          <t>CRITICAL</t>
        </is>
      </c>
    </row>
    <row r="11">
      <c r="A11" s="14" t="inlineStr">
        <is>
          <t>Prompt Caching Hit Rate Collapses</t>
        </is>
      </c>
      <c r="B11" s="14" t="inlineStr">
        <is>
          <t>80% Cache Hit Rate</t>
        </is>
      </c>
      <c r="C11" s="14" t="inlineStr">
        <is>
          <t>20% Cache Hit Rate</t>
        </is>
      </c>
      <c r="D11" s="14" t="inlineStr">
        <is>
          <t>No change on hardware</t>
        </is>
      </c>
      <c r="E11" s="14" t="inlineStr">
        <is>
          <t>+$320.00 / month on APIs</t>
        </is>
      </c>
      <c r="F11" s="14" t="inlineStr">
        <is>
          <t>Favors local hardware with unlimited prompt capacity</t>
        </is>
      </c>
      <c r="G11" s="57" t="inlineStr">
        <is>
          <t>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2" customWidth="1" min="5" max="5"/>
    <col width="50" customWidth="1" min="6" max="6"/>
  </cols>
  <sheetData>
    <row r="1">
      <c r="A1" s="1" t="inlineStr">
        <is>
          <t>ASSUMPTIONS REGISTER &amp; EXPERIMENTAL GAPS</t>
        </is>
      </c>
    </row>
    <row r="2">
      <c r="A2" s="2" t="inlineStr">
        <is>
          <t>Documented parameters, unknown quantities, and proposed empirical experiments</t>
        </is>
      </c>
    </row>
    <row r="3"/>
    <row r="4">
      <c r="A4" s="8" t="inlineStr">
        <is>
          <t>Parameter ID</t>
        </is>
      </c>
      <c r="B4" s="8" t="inlineStr">
        <is>
          <t>Category</t>
        </is>
      </c>
      <c r="C4" s="8" t="inlineStr">
        <is>
          <t>Parameter Name</t>
        </is>
      </c>
      <c r="D4" s="8" t="inlineStr">
        <is>
          <t>Value</t>
        </is>
      </c>
      <c r="E4" s="8" t="inlineStr">
        <is>
          <t>Unit</t>
        </is>
      </c>
      <c r="F4" s="8" t="inlineStr">
        <is>
          <t>Rationale &amp; Primary Source Ref</t>
        </is>
      </c>
    </row>
    <row r="5">
      <c r="A5" s="9" t="inlineStr">
        <is>
          <t>ASM-001</t>
        </is>
      </c>
      <c r="B5" s="9" t="inlineStr">
        <is>
          <t>financial</t>
        </is>
      </c>
      <c r="C5" s="13" t="inlineStr">
        <is>
          <t>hardware_useful_life_months</t>
        </is>
      </c>
      <c r="D5" s="9" t="n">
        <v>36</v>
      </c>
      <c r="E5" s="9" t="inlineStr">
        <is>
          <t>months</t>
        </is>
      </c>
      <c r="F5" s="13" t="inlineStr">
        <is>
          <t>Standard corporate depreciation cycle for high-end AI developer workstations</t>
        </is>
      </c>
    </row>
    <row r="6">
      <c r="A6" s="11" t="inlineStr">
        <is>
          <t>ASM-002</t>
        </is>
      </c>
      <c r="B6" s="11" t="inlineStr">
        <is>
          <t>financial</t>
        </is>
      </c>
      <c r="C6" s="14" t="inlineStr">
        <is>
          <t>hardware_salvage_value_pct</t>
        </is>
      </c>
      <c r="D6" s="11" t="n">
        <v>0.2</v>
      </c>
      <c r="E6" s="11" t="inlineStr">
        <is>
          <t>fraction</t>
        </is>
      </c>
      <c r="F6" s="14" t="inlineStr">
        <is>
          <t>Conservative 20% residual value on secondary market after 3 years</t>
        </is>
      </c>
    </row>
    <row r="7">
      <c r="A7" s="9" t="inlineStr">
        <is>
          <t>ASM-003</t>
        </is>
      </c>
      <c r="B7" s="9" t="inlineStr">
        <is>
          <t>financial</t>
        </is>
      </c>
      <c r="C7" s="13" t="inlineStr">
        <is>
          <t>cost_of_capital_annual</t>
        </is>
      </c>
      <c r="D7" s="9" t="n">
        <v>0.08</v>
      </c>
      <c r="E7" s="9" t="inlineStr">
        <is>
          <t>fraction</t>
        </is>
      </c>
      <c r="F7" s="13" t="inlineStr">
        <is>
          <t>8.0% annual weighted average cost of capital (WACC) / equipment leasing interest</t>
        </is>
      </c>
    </row>
    <row r="8">
      <c r="A8" s="11" t="inlineStr">
        <is>
          <t>ASM-004</t>
        </is>
      </c>
      <c r="B8" s="11" t="inlineStr">
        <is>
          <t>energy</t>
        </is>
      </c>
      <c r="C8" s="14" t="inlineStr">
        <is>
          <t>pue_desktop_workstation</t>
        </is>
      </c>
      <c r="D8" s="11" t="n">
        <v>1.1</v>
      </c>
      <c r="E8" s="11" t="inlineStr">
        <is>
          <t>ratio</t>
        </is>
      </c>
      <c r="F8" s="14" t="inlineStr">
        <is>
          <t>Office / home desktop environment fan and AC overhead</t>
        </is>
      </c>
    </row>
    <row r="9">
      <c r="A9" s="9" t="inlineStr">
        <is>
          <t>ASM-005</t>
        </is>
      </c>
      <c r="B9" s="9" t="inlineStr">
        <is>
          <t>energy</t>
        </is>
      </c>
      <c r="C9" s="13" t="inlineStr">
        <is>
          <t>pue_rack_server</t>
        </is>
      </c>
      <c r="D9" s="9" t="n">
        <v>1.35</v>
      </c>
      <c r="E9" s="9" t="inlineStr">
        <is>
          <t>ratio</t>
        </is>
      </c>
      <c r="F9" s="13" t="inlineStr">
        <is>
          <t>Commercial datacenter power usage effectiveness</t>
        </is>
      </c>
    </row>
    <row r="10">
      <c r="A10" s="11" t="inlineStr">
        <is>
          <t>ASM-006</t>
        </is>
      </c>
      <c r="B10" s="11" t="inlineStr">
        <is>
          <t>energy</t>
        </is>
      </c>
      <c r="C10" s="14" t="inlineStr">
        <is>
          <t>commercial_electricity_usd_kwh</t>
        </is>
      </c>
      <c r="D10" s="11" t="n">
        <v>0.128</v>
      </c>
      <c r="E10" s="11" t="inlineStr">
        <is>
          <t>USD/kWh</t>
        </is>
      </c>
      <c r="F10" s="14" t="inlineStr">
        <is>
          <t>US EIA July 2026 commercial average retail tariff</t>
        </is>
      </c>
    </row>
    <row r="11">
      <c r="A11" s="9" t="inlineStr">
        <is>
          <t>ASM-007</t>
        </is>
      </c>
      <c r="B11" s="9" t="inlineStr">
        <is>
          <t>operational</t>
        </is>
      </c>
      <c r="C11" s="13" t="inlineStr">
        <is>
          <t>workstation_admin_overhead_monthly</t>
        </is>
      </c>
      <c r="D11" s="9" t="n">
        <v>50</v>
      </c>
      <c r="E11" s="9" t="inlineStr">
        <is>
          <t>USD/month</t>
        </is>
      </c>
      <c r="F11" s="13" t="inlineStr">
        <is>
          <t>Amortized engineering time (15 mins/month) for software upgrades and OS updates</t>
        </is>
      </c>
    </row>
    <row r="12">
      <c r="A12" s="11" t="inlineStr">
        <is>
          <t>ASM-008</t>
        </is>
      </c>
      <c r="B12" s="11" t="inlineStr">
        <is>
          <t>operational</t>
        </is>
      </c>
      <c r="C12" s="14" t="inlineStr">
        <is>
          <t>cluster_admin_overhead_monthly</t>
        </is>
      </c>
      <c r="D12" s="11" t="n">
        <v>200</v>
      </c>
      <c r="E12" s="11" t="inlineStr">
        <is>
          <t>USD/month</t>
        </is>
      </c>
      <c r="F12" s="14" t="inlineStr">
        <is>
          <t>Amortized sysadmin time for multi-node network maintenance</t>
        </is>
      </c>
    </row>
    <row r="13">
      <c r="A13" s="9" t="inlineStr">
        <is>
          <t>ASM-009</t>
        </is>
      </c>
      <c r="B13" s="9" t="inlineStr">
        <is>
          <t>task_economics</t>
        </is>
      </c>
      <c r="C13" s="13" t="inlineStr">
        <is>
          <t>human_debugger_hourly_rate</t>
        </is>
      </c>
      <c r="D13" s="9" t="n">
        <v>120</v>
      </c>
      <c r="E13" s="9" t="inlineStr">
        <is>
          <t>USD/hour</t>
        </is>
      </c>
      <c r="F13" s="13" t="inlineStr">
        <is>
          <t>Senior software engineer loaded billing rate for manual task intervention on failure</t>
        </is>
      </c>
    </row>
    <row r="14">
      <c r="A14" s="11" t="inlineStr">
        <is>
          <t>ASM-010</t>
        </is>
      </c>
      <c r="B14" s="11" t="inlineStr">
        <is>
          <t>task_economics</t>
        </is>
      </c>
      <c r="C14" s="14" t="inlineStr">
        <is>
          <t>human_intervention_minutes_per_failure</t>
        </is>
      </c>
      <c r="D14" s="11" t="n">
        <v>15</v>
      </c>
      <c r="E14" s="11" t="inlineStr">
        <is>
          <t>minutes</t>
        </is>
      </c>
      <c r="F14" s="14" t="inlineStr">
        <is>
          <t>Average time required to inspect logs, revert broken git commit, and re-prompt on failed agent step</t>
        </is>
      </c>
    </row>
    <row r="15">
      <c r="A15" s="9" t="inlineStr">
        <is>
          <t>ASM-011</t>
        </is>
      </c>
      <c r="B15" s="9" t="inlineStr">
        <is>
          <t>marketplace</t>
        </is>
      </c>
      <c r="C15" s="13" t="inlineStr">
        <is>
          <t>ie_transaction_take_rate</t>
        </is>
      </c>
      <c r="D15" s="9" t="n">
        <v>0.05</v>
      </c>
      <c r="E15" s="9" t="inlineStr">
        <is>
          <t>fraction</t>
        </is>
      </c>
      <c r="F15" s="13" t="inlineStr">
        <is>
          <t>5.0% platform matching fee, competitive with OpenRouter's 5.5% top-up fee</t>
        </is>
      </c>
    </row>
    <row r="16"/>
    <row r="17"/>
    <row r="18">
      <c r="A18" s="7" t="inlineStr">
        <is>
          <t>CRITICAL UNKNOWNS &amp; REQUIRED RESOLUTION BENCHMARKS</t>
        </is>
      </c>
    </row>
    <row r="19"/>
    <row r="20">
      <c r="A20" s="60" t="inlineStr">
        <is>
          <t>Unknown Area</t>
        </is>
      </c>
      <c r="B20" s="60" t="inlineStr">
        <is>
          <t>Current Data Status</t>
        </is>
      </c>
      <c r="C20" s="60" t="inlineStr">
        <is>
          <t>Consequence on Model</t>
        </is>
      </c>
      <c r="D20" s="60" t="inlineStr">
        <is>
          <t>Required Benchmark Experiment to Resolve</t>
        </is>
      </c>
    </row>
    <row r="21">
      <c r="A21" s="14" t="inlineStr">
        <is>
          <t>Mac Studio M5 Ultra 512GB Street Price</t>
        </is>
      </c>
      <c r="B21" s="14" t="inlineStr">
        <is>
          <t>Announced for late Oct 2026; price unconfirmed ($7.5k-$9k estimated).</t>
        </is>
      </c>
      <c r="C21" s="14" t="inlineStr">
        <is>
          <t>Changes exact monthly TCO by ±$45/mo.</t>
        </is>
      </c>
      <c r="D21" s="14" t="inlineStr">
        <is>
          <t>Query official Apple Store configurator upon late October retail launch.</t>
        </is>
      </c>
    </row>
    <row r="22">
      <c r="A22" s="13" t="inlineStr">
        <is>
          <t>Thunderbolt 5 RDMA Sustained Thermal Throttling</t>
        </is>
      </c>
      <c r="B22" s="13" t="inlineStr">
        <is>
          <t>Exo shows 32.5 TPS on 4 Macs; long-duration thermal drift unmeasured.</t>
        </is>
      </c>
      <c r="C22" s="13" t="inlineStr">
        <is>
          <t>Could degrade decode speed by 15-20% after 2 hours of continuous load.</t>
        </is>
      </c>
      <c r="D22" s="13" t="inlineStr">
        <is>
          <t>Execute 4-hour continuous burn-in benchmark logging device temperature and TPS.</t>
        </is>
      </c>
    </row>
    <row r="23">
      <c r="A23" s="14" t="inlineStr">
        <is>
          <t>DGX Spark Speculative Decoding Quality Drift</t>
        </is>
      </c>
      <c r="B23" s="14" t="inlineStr">
        <is>
          <t>SGLang reports 42 TPS with DFlash2 draft model; acceptance rate on complex SWE code unmeasured.</t>
        </is>
      </c>
      <c r="C23" s="14" t="inlineStr">
        <is>
          <t>If acceptance rate drops below 40%, decode collapses back to 14.2 TPS.</t>
        </is>
      </c>
      <c r="D23" s="14" t="inlineStr">
        <is>
          <t>Run standardized SWE-bench verified evaluation comparing standard vs draft acceptance 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2026-10-11T03:21:06Z</dcterms:created>
  <dcterms:modified xsi:type="dcterms:W3CDTF">2026-10-11T03:21:07Z</dcterms:modified>
</cp:coreProperties>
</file>