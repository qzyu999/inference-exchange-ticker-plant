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hange_Economics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Models" sheetId="3" state="visible" r:id="rId3"/>
    <sheet xmlns:r="http://schemas.openxmlformats.org/officeDocument/2006/relationships" name="Recipes" sheetId="4" state="visible" r:id="rId4"/>
    <sheet xmlns:r="http://schemas.openxmlformats.org/officeDocument/2006/relationships" name="Experiments" sheetId="5" state="visible" r:id="rId5"/>
    <sheet xmlns:r="http://schemas.openxmlformats.org/officeDocument/2006/relationships" name="README" sheetId="6" state="visible" r:id="rId6"/>
  </sheets>
  <definedNames>
    <definedName name="_xlnm._FilterDatabase" localSheetId="1" hidden="1">'Hardware'!$A$4:$Q$9</definedName>
    <definedName name="_xlnm._FilterDatabase" localSheetId="2" hidden="1">'Models'!$A$4:$Q$15</definedName>
    <definedName name="_xlnm._FilterDatabase" localSheetId="3" hidden="1">'Recipes'!$A$4:$T$12</definedName>
    <definedName name="_xlnm._FilterDatabase" localSheetId="4" hidden="1">'Experiments'!$A$4:$AN$16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$0.00"/>
    <numFmt numFmtId="167" formatCode="#,##0.0"/>
    <numFmt numFmtId="168" formatCode="$#,##0.00"/>
    <numFmt numFmtId="169" formatCode="$#,##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2E8F0"/>
      <sz val="10"/>
    </font>
    <font>
      <name val="Calibri"/>
      <b val="1"/>
      <color rgb="001E293B"/>
      <sz val="11"/>
    </font>
    <font>
      <name val="Calibri"/>
      <b val="1"/>
      <color rgb="000F172A"/>
      <sz val="10"/>
    </font>
    <font>
      <name val="Calibri"/>
      <b val="1"/>
      <color rgb="000369A1"/>
      <sz val="10"/>
    </font>
    <font>
      <name val="Calibri"/>
      <color rgb="00475569"/>
      <sz val="9"/>
    </font>
    <font>
      <name val="Calibri"/>
      <b val="1"/>
      <color rgb="00FFFFFF"/>
      <sz val="10"/>
    </font>
    <font>
      <name val="Calibri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FF6FF"/>
        <bgColor rgb="00EFF6FF"/>
      </patternFill>
    </fill>
    <fill>
      <patternFill patternType="solid">
        <fgColor rgb="001E3A5F"/>
        <bgColor rgb="001E3A5F"/>
      </patternFill>
    </fill>
    <fill>
      <patternFill patternType="solid">
        <fgColor rgb="000F4C5C"/>
        <bgColor rgb="000F4C5C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3A5F"/>
      </top>
      <bottom style="medium">
        <color rgb="001E3A5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1" pivotButton="0" quotePrefix="0" xfId="0"/>
    <xf numFmtId="164" fontId="5" fillId="3" borderId="1" applyAlignment="1" pivotButton="0" quotePrefix="0" xfId="0">
      <alignment horizontal="right" vertical="center"/>
    </xf>
    <xf numFmtId="0" fontId="6" fillId="0" borderId="1" pivotButton="0" quotePrefix="0" xfId="0"/>
    <xf numFmtId="165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7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/>
    </xf>
    <xf numFmtId="0" fontId="8" fillId="6" borderId="1" pivotButton="0" quotePrefix="0" xfId="0"/>
    <xf numFmtId="164" fontId="8" fillId="6" borderId="1" pivotButton="0" quotePrefix="0" xfId="0"/>
    <xf numFmtId="167" fontId="8" fillId="6" borderId="1" pivotButton="0" quotePrefix="0" xfId="0"/>
    <xf numFmtId="168" fontId="5" fillId="6" borderId="1" pivotButton="0" quotePrefix="0" xfId="0"/>
    <xf numFmtId="165" fontId="5" fillId="6" borderId="1" pivotButton="0" quotePrefix="0" xfId="0"/>
    <xf numFmtId="0" fontId="4" fillId="7" borderId="1" applyAlignment="1" pivotButton="0" quotePrefix="0" xfId="0">
      <alignment horizontal="center"/>
    </xf>
    <xf numFmtId="0" fontId="8" fillId="7" borderId="1" pivotButton="0" quotePrefix="0" xfId="0"/>
    <xf numFmtId="164" fontId="8" fillId="7" borderId="1" pivotButton="0" quotePrefix="0" xfId="0"/>
    <xf numFmtId="167" fontId="8" fillId="7" borderId="1" pivotButton="0" quotePrefix="0" xfId="0"/>
    <xf numFmtId="168" fontId="5" fillId="7" borderId="1" pivotButton="0" quotePrefix="0" xfId="0"/>
    <xf numFmtId="165" fontId="5" fillId="7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5" fillId="7" borderId="1" pivotButton="0" quotePrefix="0" xfId="0"/>
    <xf numFmtId="169" fontId="8" fillId="7" borderId="1" pivotButton="0" quotePrefix="0" xfId="0"/>
    <xf numFmtId="0" fontId="5" fillId="6" borderId="1" pivotButton="0" quotePrefix="0" xfId="0"/>
    <xf numFmtId="169" fontId="8" fillId="6" borderId="1" pivotButton="0" quotePrefix="0" xfId="0"/>
    <xf numFmtId="168" fontId="8" fillId="7" borderId="1" pivotButton="0" quotePrefix="0" xfId="0"/>
    <xf numFmtId="168" fontId="8" fillId="6" borderId="1" pivotButton="0" quotePrefix="0" xfId="0"/>
    <xf numFmtId="169" fontId="5" fillId="7" borderId="1" pivotButton="0" quotePrefix="0" xfId="0"/>
    <xf numFmtId="164" fontId="5" fillId="7" borderId="1" pivotButton="0" quotePrefix="0" xfId="0"/>
    <xf numFmtId="169" fontId="5" fillId="6" borderId="1" pivotButton="0" quotePrefix="0" xfId="0"/>
    <xf numFmtId="164" fontId="5" fillId="6" borderId="1" pivotButton="0" quotePrefix="0" xfId="0"/>
    <xf numFmtId="0" fontId="7" fillId="4" borderId="0" pivotButton="0" quotePrefix="0" xfId="0"/>
    <xf numFmtId="0" fontId="4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Calibri"/>
        <b val="1"/>
        <color rgb="00166534"/>
        <sz val="10"/>
      </font>
      <fill>
        <patternFill patternType="solid">
          <fgColor rgb="00DCFCE7"/>
          <bgColor rgb="00DCFCE7"/>
        </patternFill>
      </fill>
    </dxf>
    <dxf>
      <font>
        <name val="Calibri"/>
        <b val="1"/>
        <color rgb="00991B1B"/>
        <sz val="10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1M Output Tokens ($ USD): Solo Dev (8% Util) vs. Exchange Node (65% Util) vs. Cloud API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'Exchange_Economics'!H13</f>
            </strRef>
          </tx>
          <spPr>
            <a:ln xmlns:a="http://schemas.openxmlformats.org/drawingml/2006/main">
              <a:prstDash val="solid"/>
            </a:ln>
          </spPr>
          <cat>
            <numRef>
              <f>'Exchange_Economics'!$B$14:$B$19</f>
            </numRef>
          </cat>
          <val>
            <numRef>
              <f>'Exchange_Economics'!$H$14:$H$19</f>
            </numRef>
          </val>
        </ser>
        <ser>
          <idx val="1"/>
          <order val="1"/>
          <tx>
            <strRef>
              <f>'Exchange_Economics'!I13</f>
            </strRef>
          </tx>
          <spPr>
            <a:ln xmlns:a="http://schemas.openxmlformats.org/drawingml/2006/main">
              <a:prstDash val="solid"/>
            </a:ln>
          </spPr>
          <cat>
            <numRef>
              <f>'Exchange_Economics'!$B$14:$B$19</f>
            </numRef>
          </cat>
          <val>
            <numRef>
              <f>'Exchange_Economics'!$I$14:$I$19</f>
            </numRef>
          </val>
        </ser>
        <ser>
          <idx val="2"/>
          <order val="2"/>
          <tx>
            <strRef>
              <f>'Exchange_Economics'!J13</f>
            </strRef>
          </tx>
          <spPr>
            <a:ln xmlns:a="http://schemas.openxmlformats.org/drawingml/2006/main">
              <a:prstDash val="solid"/>
            </a:ln>
          </spPr>
          <cat>
            <numRef>
              <f>'Exchange_Economics'!$B$14:$B$19</f>
            </numRef>
          </cat>
          <val>
            <numRef>
              <f>'Exchange_Economics'!$J$14:$J$19</f>
            </numRef>
          </val>
        </ser>
        <gapWidth val="150"/>
        <overlap val="-15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Workload &amp; Hardware Tier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per 1M Output Tokens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31" customWidth="1" min="4" max="4"/>
    <col width="25" customWidth="1" min="5" max="5"/>
    <col width="25" customWidth="1" min="6" max="6"/>
    <col width="44" customWidth="1" min="7" max="7"/>
    <col width="38" customWidth="1" min="8" max="8"/>
    <col width="44" customWidth="1" min="9" max="9"/>
    <col width="37" customWidth="1" min="10" max="10"/>
    <col width="38" customWidth="1" min="11" max="11"/>
  </cols>
  <sheetData>
    <row r="1" ht="28" customHeight="1">
      <c r="A1" s="1" t="inlineStr">
        <is>
          <t>INFERENCE EXCHANGE — LOCAL HARDWARE vs. CLOUD API ECONOMICS &amp; SOR MATRIX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0" customHeight="1">
      <c r="A2" s="3" t="inlineStr">
        <is>
          <t>Live parameterized unit economics, utilization break-even analysis, and Prefill/Decode Smart Order Routing (Oct 2026 AA v4.3.2)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/>
    <row r="4">
      <c r="A4" s="4" t="inlineStr">
        <is>
          <t>GLOBAL TCO &amp; EXCHANGE CLEARING PARAMETERS (EDITABLE INPUTS)</t>
        </is>
      </c>
    </row>
    <row r="5">
      <c r="A5" s="5" t="inlineStr">
        <is>
          <t>Hardware Amortization Horizon (Years)</t>
        </is>
      </c>
      <c r="B5" s="6" t="n">
        <v>3</v>
      </c>
      <c r="C5" s="7" t="inlineStr">
        <is>
          <t>Standard prosumer/cluster depreciation cycle</t>
        </is>
      </c>
    </row>
    <row r="6">
      <c r="A6" s="5" t="inlineStr">
        <is>
          <t>Hardware Residual / Resale Value (%)</t>
        </is>
      </c>
      <c r="B6" s="8" t="n">
        <v>0.3</v>
      </c>
      <c r="C6" s="7" t="inlineStr">
        <is>
          <t>36-month secondary market residual value (Apple/NVIDIA)</t>
        </is>
      </c>
    </row>
    <row r="7">
      <c r="A7" s="5" t="inlineStr">
        <is>
          <t>California Commercial/Residential Power ($/kWh)</t>
        </is>
      </c>
      <c r="B7" s="9" t="n">
        <v>0.35</v>
      </c>
      <c r="C7" s="7" t="inlineStr">
        <is>
          <t>SDG&amp;E / PG&amp;E blended kWh rate</t>
        </is>
      </c>
    </row>
    <row r="8">
      <c r="A8" s="5" t="inlineStr">
        <is>
          <t>Solo Developer Duty Cycle (Utilization %)</t>
        </is>
      </c>
      <c r="B8" s="8" t="n">
        <v>0.08</v>
      </c>
      <c r="C8" s="7" t="inlineStr">
        <is>
          <t>Single user local interactive coding (~1.9 hrs/day active)</t>
        </is>
      </c>
    </row>
    <row r="9">
      <c r="A9" s="5" t="inlineStr">
        <is>
          <t>Inference Exchange Node Utilization (%)</t>
        </is>
      </c>
      <c r="B9" s="8" t="n">
        <v>0.65</v>
      </c>
      <c r="C9" s="7" t="inlineStr">
        <is>
          <t>Pooled liquidity node cleared via Inference Exchange SOR</t>
        </is>
      </c>
    </row>
    <row r="10">
      <c r="A10" s="5" t="inlineStr">
        <is>
          <t>Exchange Prefix Cache Hit Rate (%)</t>
        </is>
      </c>
      <c r="B10" s="8" t="n">
        <v>0.8</v>
      </c>
      <c r="C10" s="7" t="inlineStr">
        <is>
          <t>Warm prefix cache hit ratio on multi-turn agentic loops</t>
        </is>
      </c>
    </row>
    <row r="11"/>
    <row r="12">
      <c r="A12" s="4" t="inlineStr">
        <is>
          <t>1. THE UTILIZATION PARADOX &amp; CLOUD ARBITRAGE MATRIX (LIVE FORMULAS)</t>
        </is>
      </c>
    </row>
    <row r="13" ht="28" customHeight="1">
      <c r="A13" s="10" t="inlineStr">
        <is>
          <t>Scenario ID</t>
        </is>
      </c>
      <c r="B13" s="10" t="inlineStr">
        <is>
          <t>Representative Workload / Tier</t>
        </is>
      </c>
      <c r="C13" s="10" t="inlineStr">
        <is>
          <t>Hardware System</t>
        </is>
      </c>
      <c r="D13" s="10" t="inlineStr">
        <is>
          <t>Local Model &amp; Recipe</t>
        </is>
      </c>
      <c r="E13" s="10" t="inlineStr">
        <is>
          <t>AA Index (v4.3.2)</t>
        </is>
      </c>
      <c r="F13" s="10" t="inlineStr">
        <is>
          <t>Single Decode (tok/s)</t>
        </is>
      </c>
      <c r="G13" s="10" t="inlineStr">
        <is>
          <t>Batched Decode (tok/s)</t>
        </is>
      </c>
      <c r="H13" s="11" t="inlineStr">
        <is>
          <t>Solo Dev Cost ($/1M Out @ 8% Util)</t>
        </is>
      </c>
      <c r="I13" s="11" t="inlineStr">
        <is>
          <t>Exchange Node Cost ($/1M Out @ 65% Util)</t>
        </is>
      </c>
      <c r="J13" s="11" t="inlineStr">
        <is>
          <t>Cloud API Output Price ($/1M Out)</t>
        </is>
      </c>
      <c r="K13" s="11" t="inlineStr">
        <is>
          <t>Exchange Savings vs. Cloud API (%)</t>
        </is>
      </c>
    </row>
    <row r="14" ht="22" customHeight="1">
      <c r="A14" s="12" t="inlineStr">
        <is>
          <t>ARB-01</t>
        </is>
      </c>
      <c r="B14" s="13" t="inlineStr">
        <is>
          <t>Dense 27B Coding Workhorse (Apple Prosumer)</t>
        </is>
      </c>
      <c r="C14" s="13">
        <f>Experiments!F10</f>
        <v/>
      </c>
      <c r="D14" s="13">
        <f>Experiments!O10</f>
        <v/>
      </c>
      <c r="E14" s="14">
        <f>Experiments!AK10</f>
        <v/>
      </c>
      <c r="F14" s="15">
        <f>Experiments!Z10</f>
        <v/>
      </c>
      <c r="G14" s="15">
        <f>Experiments!AA10</f>
        <v/>
      </c>
      <c r="H14" s="16">
        <f>Experiments!AI10</f>
        <v/>
      </c>
      <c r="I14" s="16">
        <f>Experiments!AJ10</f>
        <v/>
      </c>
      <c r="J14" s="16">
        <f>Models!M13</f>
        <v/>
      </c>
      <c r="K14" s="17">
        <f>(J14-I14)/J14</f>
        <v/>
      </c>
    </row>
    <row r="15" ht="22" customHeight="1">
      <c r="A15" s="18" t="inlineStr">
        <is>
          <t>ARB-02</t>
        </is>
      </c>
      <c r="B15" s="19" t="inlineStr">
        <is>
          <t>Dense 27B Lossless Q8 (Apple Studio Tier)</t>
        </is>
      </c>
      <c r="C15" s="19">
        <f>Experiments!F11</f>
        <v/>
      </c>
      <c r="D15" s="19">
        <f>Experiments!O11</f>
        <v/>
      </c>
      <c r="E15" s="20">
        <f>Experiments!AK11</f>
        <v/>
      </c>
      <c r="F15" s="21">
        <f>Experiments!Z11</f>
        <v/>
      </c>
      <c r="G15" s="21">
        <f>Experiments!AA11</f>
        <v/>
      </c>
      <c r="H15" s="22">
        <f>Experiments!AI11</f>
        <v/>
      </c>
      <c r="I15" s="22">
        <f>Experiments!AJ11</f>
        <v/>
      </c>
      <c r="J15" s="22">
        <f>Models!M13</f>
        <v/>
      </c>
      <c r="K15" s="23">
        <f>(J15-I15)/J15</f>
        <v/>
      </c>
    </row>
    <row r="16" ht="22" customHeight="1">
      <c r="A16" s="12" t="inlineStr">
        <is>
          <t>ARB-03</t>
        </is>
      </c>
      <c r="B16" s="13" t="inlineStr">
        <is>
          <t>Dense 27B High-Batch Server (NVIDIA Tier)</t>
        </is>
      </c>
      <c r="C16" s="13">
        <f>Experiments!F12</f>
        <v/>
      </c>
      <c r="D16" s="13">
        <f>Experiments!O12</f>
        <v/>
      </c>
      <c r="E16" s="14">
        <f>Experiments!AK12</f>
        <v/>
      </c>
      <c r="F16" s="15">
        <f>Experiments!Z12</f>
        <v/>
      </c>
      <c r="G16" s="15">
        <f>Experiments!AA12</f>
        <v/>
      </c>
      <c r="H16" s="16">
        <f>Experiments!AI12</f>
        <v/>
      </c>
      <c r="I16" s="16">
        <f>Experiments!AJ12</f>
        <v/>
      </c>
      <c r="J16" s="16">
        <f>Models!M13</f>
        <v/>
      </c>
      <c r="K16" s="17">
        <f>(J16-I16)/J16</f>
        <v/>
      </c>
    </row>
    <row r="17" ht="22" customHeight="1">
      <c r="A17" s="18" t="inlineStr">
        <is>
          <t>ARB-04</t>
        </is>
      </c>
      <c r="B17" s="19" t="inlineStr">
        <is>
          <t>120B Fast MoE Workhorse (NVIDIA Prefill+Batch)</t>
        </is>
      </c>
      <c r="C17" s="19">
        <f>Experiments!F6</f>
        <v/>
      </c>
      <c r="D17" s="19">
        <f>Experiments!O6</f>
        <v/>
      </c>
      <c r="E17" s="20">
        <f>Experiments!AK6</f>
        <v/>
      </c>
      <c r="F17" s="21">
        <f>Experiments!Z6</f>
        <v/>
      </c>
      <c r="G17" s="21">
        <f>Experiments!AA6</f>
        <v/>
      </c>
      <c r="H17" s="22">
        <f>Experiments!AI6</f>
        <v/>
      </c>
      <c r="I17" s="22">
        <f>Experiments!AJ6</f>
        <v/>
      </c>
      <c r="J17" s="22">
        <f>Models!M12</f>
        <v/>
      </c>
      <c r="K17" s="23">
        <f>(J17-I17)/J17</f>
        <v/>
      </c>
    </row>
    <row r="18" ht="22" customHeight="1">
      <c r="A18" s="12" t="inlineStr">
        <is>
          <t>ARB-05</t>
        </is>
      </c>
      <c r="B18" s="13" t="inlineStr">
        <is>
          <t>320B Frontier Open MoE (Monolithic 256GB)</t>
        </is>
      </c>
      <c r="C18" s="13">
        <f>Experiments!F14</f>
        <v/>
      </c>
      <c r="D18" s="13">
        <f>Experiments!O14</f>
        <v/>
      </c>
      <c r="E18" s="14">
        <f>Experiments!AK14</f>
        <v/>
      </c>
      <c r="F18" s="15">
        <f>Experiments!Z14</f>
        <v/>
      </c>
      <c r="G18" s="15">
        <f>Experiments!AA14</f>
        <v/>
      </c>
      <c r="H18" s="16">
        <f>Experiments!AI14</f>
        <v/>
      </c>
      <c r="I18" s="16">
        <f>Experiments!AJ14</f>
        <v/>
      </c>
      <c r="J18" s="16">
        <f>Models!M8</f>
        <v/>
      </c>
      <c r="K18" s="17">
        <f>(J18-I18)/J18</f>
        <v/>
      </c>
    </row>
    <row r="19" ht="22" customHeight="1">
      <c r="A19" s="18" t="inlineStr">
        <is>
          <t>ARB-06</t>
        </is>
      </c>
      <c r="B19" s="19" t="inlineStr">
        <is>
          <t>235B Distributed MoE (2x Spark RoCEv2)</t>
        </is>
      </c>
      <c r="C19" s="19">
        <f>Experiments!F8</f>
        <v/>
      </c>
      <c r="D19" s="19">
        <f>Experiments!O8</f>
        <v/>
      </c>
      <c r="E19" s="20">
        <f>Experiments!AK8</f>
        <v/>
      </c>
      <c r="F19" s="21">
        <f>Experiments!Z8</f>
        <v/>
      </c>
      <c r="G19" s="21">
        <f>Experiments!AA8</f>
        <v/>
      </c>
      <c r="H19" s="22">
        <f>Experiments!AI8</f>
        <v/>
      </c>
      <c r="I19" s="22">
        <f>Experiments!AJ8</f>
        <v/>
      </c>
      <c r="J19" s="22">
        <f>Models!M10</f>
        <v/>
      </c>
      <c r="K19" s="23">
        <f>(J19-I19)/J19</f>
        <v/>
      </c>
    </row>
    <row r="20"/>
    <row r="21"/>
    <row r="22">
      <c r="A22" s="4" t="inlineStr">
        <is>
          <t>2. SMART ORDER ROUTER (SOR) DISAGGREGATED HARDWARE SPECIALIZATION MATRIX</t>
        </is>
      </c>
    </row>
    <row r="23" ht="26" customHeight="1">
      <c r="A23" s="10" t="inlineStr">
        <is>
          <t>Order Book Contract Type</t>
        </is>
      </c>
      <c r="B23" s="10" t="inlineStr">
        <is>
          <t>Primary Bottleneck</t>
        </is>
      </c>
      <c r="C23" s="10" t="inlineStr">
        <is>
          <t>Optimal Hardware Provider</t>
        </is>
      </c>
      <c r="D23" s="10" t="inlineStr">
        <is>
          <t>Target Engine &amp; Quant</t>
        </is>
      </c>
      <c r="E23" s="10" t="inlineStr">
        <is>
          <t>Prefill Speed (tok/s)</t>
        </is>
      </c>
      <c r="F23" s="10" t="inlineStr">
        <is>
          <t>Decode Speed (tok/s)</t>
        </is>
      </c>
      <c r="G23" s="10" t="inlineStr">
        <is>
          <t>Why the Exchange Routes Here (Market Microstructure Rationale)</t>
        </is>
      </c>
    </row>
    <row r="24" ht="24" customHeight="1">
      <c r="A24" s="24" t="inlineStr">
        <is>
          <t>LEG 1: Cold Long-Context Prefill (16k-64k RAG / Repo Ingest)</t>
        </is>
      </c>
      <c r="B24" s="13" t="inlineStr">
        <is>
          <t>Compute TFLOPS (FP4 Tensor Cores)</t>
        </is>
      </c>
      <c r="C24" s="13" t="inlineStr">
        <is>
          <t>NVIDIA DGX Spark 128GB ($4,699)</t>
        </is>
      </c>
      <c r="D24" s="13" t="inlineStr">
        <is>
          <t>vLLM + MXFP4 / NVFP4</t>
        </is>
      </c>
      <c r="E24" s="15" t="n">
        <v>2053</v>
      </c>
      <c r="F24" s="15" t="n">
        <v>58.7</v>
      </c>
      <c r="G24" s="13" t="inlineStr">
        <is>
          <t>Blackwell ~1,000 FP4 TFLOPS crushes prompt prefill (2,053-2,442 tok/s), cutting TTFT by 2.5x-3x vs Apple Silicon.</t>
        </is>
      </c>
    </row>
    <row r="25" ht="24" customHeight="1">
      <c r="A25" s="25" t="inlineStr">
        <is>
          <t>LEG 2: Warm Prefix-Cached Multi-Turn Agent Loop (ContainerClaw)</t>
        </is>
      </c>
      <c r="B25" s="19" t="inlineStr">
        <is>
          <t>Memory Bandwidth + Prefix Trie Hit</t>
        </is>
      </c>
      <c r="C25" s="19" t="inlineStr">
        <is>
          <t>Apple M5 Max 128GB ($5,399)</t>
        </is>
      </c>
      <c r="D25" s="19" t="inlineStr">
        <is>
          <t>vllm-mlx v0.4.2 + Q4/Q6</t>
        </is>
      </c>
      <c r="E25" s="21" t="n">
        <v>1450</v>
      </c>
      <c r="F25" s="21" t="n">
        <v>135.2</v>
      </c>
      <c r="G25" s="19" t="inlineStr">
        <is>
          <t>614 GB/s unified memory + zero-copy trie prefix cache bypasses prefill and streams 33-135 tok/s at 105W.</t>
        </is>
      </c>
    </row>
    <row r="26" ht="24" customHeight="1">
      <c r="A26" s="24" t="inlineStr">
        <is>
          <t>LEG 3: Frontier 235B-320B MoE Low-Latency Interactive Decode</t>
        </is>
      </c>
      <c r="B26" s="13" t="inlineStr">
        <is>
          <t>Monolithic RAM Capacity + Bandwidth</t>
        </is>
      </c>
      <c r="C26" s="13" t="inlineStr">
        <is>
          <t>Apple M5 Ultra 256GB ($9,499)</t>
        </is>
      </c>
      <c r="D26" s="13" t="inlineStr">
        <is>
          <t>oMLX / vllm-mlx Q4</t>
        </is>
      </c>
      <c r="E26" s="15" t="n">
        <v>980</v>
      </c>
      <c r="F26" s="15" t="n">
        <v>88</v>
      </c>
      <c r="G26" s="13" t="inlineStr">
        <is>
          <t>1,200 GB/s unified memory holds 186GB 320B MoE in a single address space without 200GbE network TP latency.</t>
        </is>
      </c>
    </row>
    <row r="27" ht="24" customHeight="1">
      <c r="A27" s="25" t="inlineStr">
        <is>
          <t>LEG 4: High-Concurrency Throughput Batch Clearing (c=8 to c=32)</t>
        </is>
      </c>
      <c r="B27" s="19" t="inlineStr">
        <is>
          <t>Continuous Batching + CUDAGraph</t>
        </is>
      </c>
      <c r="C27" s="19" t="inlineStr">
        <is>
          <t>NVIDIA DGX Spark 128GB ($4,699)</t>
        </is>
      </c>
      <c r="D27" s="19" t="inlineStr">
        <is>
          <t>vLLM + CUDAGraph (max 2048)</t>
        </is>
      </c>
      <c r="E27" s="21" t="n">
        <v>2442</v>
      </c>
      <c r="F27" s="21" t="n">
        <v>198.4</v>
      </c>
      <c r="G27" s="19" t="inlineStr">
        <is>
          <t>vLLM PagedAttention + CUDAGraph scales gpt-oss-120b to 198+ tok/s aggregate ($0.39/1M tokens @ 65% util).</t>
        </is>
      </c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45" customWidth="1" min="3" max="3"/>
    <col width="46" customWidth="1" min="4" max="4"/>
    <col width="11" customWidth="1" min="5" max="5"/>
    <col width="22" customWidth="1" min="6" max="6"/>
    <col width="19" customWidth="1" min="7" max="7"/>
    <col width="41" customWidth="1" min="8" max="8"/>
    <col width="34" customWidth="1" min="9" max="9"/>
    <col width="28" customWidth="1" min="10" max="10"/>
    <col width="46" customWidth="1" min="11" max="11"/>
    <col width="45" customWidth="1" min="12" max="12"/>
    <col width="23" customWidth="1" min="13" max="13"/>
    <col width="19" customWidth="1" min="14" max="14"/>
    <col width="28" customWidth="1" min="15" max="15"/>
    <col width="33" customWidth="1" min="16" max="16"/>
    <col width="46" customWidth="1" min="17" max="17"/>
  </cols>
  <sheetData>
    <row r="1" ht="28" customHeight="1">
      <c r="A1" s="1" t="inlineStr">
        <is>
          <t>HARDWARE CATALOG (DIMENSION TABLE — dim_hardware)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20" customHeight="1">
      <c r="A2" s="3" t="inlineStr">
        <is>
          <t>Verified system specifications, memory bandwidth, TDP, CapEx, and live hourly TCO formulas referenced by Experiments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/>
    <row r="4" ht="28" customHeight="1">
      <c r="A4" s="10" t="inlineStr">
        <is>
          <t>hardware_id</t>
        </is>
      </c>
      <c r="B4" s="10" t="inlineStr">
        <is>
          <t>vendor</t>
        </is>
      </c>
      <c r="C4" s="10" t="inlineStr">
        <is>
          <t>system_name</t>
        </is>
      </c>
      <c r="D4" s="10" t="inlineStr">
        <is>
          <t>chip</t>
        </is>
      </c>
      <c r="E4" s="10" t="inlineStr">
        <is>
          <t>nodes</t>
        </is>
      </c>
      <c r="F4" s="10" t="inlineStr">
        <is>
          <t>memory_gb_per_node</t>
        </is>
      </c>
      <c r="G4" s="11" t="inlineStr">
        <is>
          <t>total_memory_gb</t>
        </is>
      </c>
      <c r="H4" s="10" t="inlineStr">
        <is>
          <t>memory_type</t>
        </is>
      </c>
      <c r="I4" s="10" t="inlineStr">
        <is>
          <t>memory_bandwidth_gbps_per_node</t>
        </is>
      </c>
      <c r="J4" s="11" t="inlineStr">
        <is>
          <t>aggregate_bandwidth_gbps</t>
        </is>
      </c>
      <c r="K4" s="10" t="inlineStr">
        <is>
          <t>fp4_or_int4_compute_note</t>
        </is>
      </c>
      <c r="L4" s="10" t="inlineStr">
        <is>
          <t>interconnect</t>
        </is>
      </c>
      <c r="M4" s="10" t="inlineStr">
        <is>
          <t>est_system_cost_usd</t>
        </is>
      </c>
      <c r="N4" s="10" t="inlineStr">
        <is>
          <t>typical_power_w</t>
        </is>
      </c>
      <c r="O4" s="11" t="inlineStr">
        <is>
          <t>hourly_tco_solo_8pct_usd</t>
        </is>
      </c>
      <c r="P4" s="11" t="inlineStr">
        <is>
          <t>hourly_tco_exchange_65pct_usd</t>
        </is>
      </c>
      <c r="Q4" s="10" t="inlineStr">
        <is>
          <t>notes</t>
        </is>
      </c>
    </row>
    <row r="5" ht="22" customHeight="1">
      <c r="A5" s="25" t="inlineStr">
        <is>
          <t>HW-001</t>
        </is>
      </c>
      <c r="B5" s="19" t="inlineStr">
        <is>
          <t>Apple</t>
        </is>
      </c>
      <c r="C5" s="19" t="inlineStr">
        <is>
          <t>MacBook Pro / Mac Studio M5 Max 128GB</t>
        </is>
      </c>
      <c r="D5" s="19" t="inlineStr">
        <is>
          <t>Apple M5 Max (18C CPU / 40C GPU)</t>
        </is>
      </c>
      <c r="E5" s="19" t="n">
        <v>1</v>
      </c>
      <c r="F5" s="19" t="n">
        <v>128</v>
      </c>
      <c r="G5" s="26">
        <f>E5*F5</f>
        <v/>
      </c>
      <c r="H5" s="19" t="inlineStr">
        <is>
          <t>Unified LPDDR5X</t>
        </is>
      </c>
      <c r="I5" s="19" t="n">
        <v>614</v>
      </c>
      <c r="J5" s="26">
        <f>E5*I5</f>
        <v/>
      </c>
      <c r="K5" s="19" t="inlineStr">
        <is>
          <t>Metal GPU + Neural Accelerators; MLX Q4/Q6/Q8 native</t>
        </is>
      </c>
      <c r="L5" s="19" t="inlineStr">
        <is>
          <t>Single-node Unified Memory</t>
        </is>
      </c>
      <c r="M5" s="27" t="n">
        <v>5399</v>
      </c>
      <c r="N5" s="19" t="n">
        <v>110</v>
      </c>
      <c r="O5" s="22">
        <f>(M5*(1-Exchange_Economics!$B$6))/(Exchange_Economics!$B$5*8760*Exchange_Economics!$B$8)+(N5/1000)*Exchange_Economics!$B$7</f>
        <v/>
      </c>
      <c r="P5" s="22">
        <f>(M5*(1-Exchange_Economics!$B$6))/(Exchange_Economics!$B$5*8760*Exchange_Economics!$B$9)+(N5/1000)*Exchange_Economics!$B$7</f>
        <v/>
      </c>
      <c r="Q5" s="19" t="inlineStr">
        <is>
          <t>Verified MBP/Studio M5 Max 128GB baseline (614 GB/s). Sweet spot for 8B-32B dense &amp; 30B-120B MoE.</t>
        </is>
      </c>
    </row>
    <row r="6" ht="22" customHeight="1">
      <c r="A6" s="24" t="inlineStr">
        <is>
          <t>HW-002</t>
        </is>
      </c>
      <c r="B6" s="13" t="inlineStr">
        <is>
          <t>Apple</t>
        </is>
      </c>
      <c r="C6" s="13" t="inlineStr">
        <is>
          <t>Mac Studio M5 Ultra 256GB</t>
        </is>
      </c>
      <c r="D6" s="13" t="inlineStr">
        <is>
          <t>Apple M5 Ultra (36C CPU / 80C GPU)</t>
        </is>
      </c>
      <c r="E6" s="13" t="n">
        <v>1</v>
      </c>
      <c r="F6" s="13" t="n">
        <v>256</v>
      </c>
      <c r="G6" s="28">
        <f>E6*F6</f>
        <v/>
      </c>
      <c r="H6" s="13" t="inlineStr">
        <is>
          <t>Unified Memory</t>
        </is>
      </c>
      <c r="I6" s="13" t="n">
        <v>1200</v>
      </c>
      <c r="J6" s="28">
        <f>E6*I6</f>
        <v/>
      </c>
      <c r="K6" s="13" t="inlineStr">
        <is>
          <t>Dual-die UltraFusion; high memory bandwidth decode specialist</t>
        </is>
      </c>
      <c r="L6" s="13" t="inlineStr">
        <is>
          <t>Single-node Unified Memory</t>
        </is>
      </c>
      <c r="M6" s="29" t="n">
        <v>9499</v>
      </c>
      <c r="N6" s="13" t="n">
        <v>185</v>
      </c>
      <c r="O6" s="16">
        <f>(M6*(1-Exchange_Economics!$B$6))/(Exchange_Economics!$B$5*8760*Exchange_Economics!$B$8)+(N6/1000)*Exchange_Economics!$B$7</f>
        <v/>
      </c>
      <c r="P6" s="16">
        <f>(M6*(1-Exchange_Economics!$B$6))/(Exchange_Economics!$B$5*8760*Exchange_Economics!$B$9)+(N6/1000)*Exchange_Economics!$B$7</f>
        <v/>
      </c>
      <c r="Q6" s="13" t="inlineStr">
        <is>
          <t>Monolithic 256GB address space at 1.2 TB/s. Ideal for 120B-320B 4-bit MoE decode without network TP overhead.</t>
        </is>
      </c>
    </row>
    <row r="7" ht="22" customHeight="1">
      <c r="A7" s="25" t="inlineStr">
        <is>
          <t>HW-003</t>
        </is>
      </c>
      <c r="B7" s="19" t="inlineStr">
        <is>
          <t>Apple</t>
        </is>
      </c>
      <c r="C7" s="19" t="inlineStr">
        <is>
          <t>Mac Studio M5 Ultra 512GB (Late Oct 2026)</t>
        </is>
      </c>
      <c r="D7" s="19" t="inlineStr">
        <is>
          <t>Apple M5 Ultra (36C CPU / 80C GPU)</t>
        </is>
      </c>
      <c r="E7" s="19" t="n">
        <v>1</v>
      </c>
      <c r="F7" s="19" t="n">
        <v>512</v>
      </c>
      <c r="G7" s="26">
        <f>E7*F7</f>
        <v/>
      </c>
      <c r="H7" s="19" t="inlineStr">
        <is>
          <t>Unified Memory</t>
        </is>
      </c>
      <c r="I7" s="19" t="n">
        <v>1200</v>
      </c>
      <c r="J7" s="26">
        <f>E7*I7</f>
        <v/>
      </c>
      <c r="K7" s="19" t="inlineStr">
        <is>
          <t>High-capacity unified memory node; shipping late Oct 2026 (est. CapEx)</t>
        </is>
      </c>
      <c r="L7" s="19" t="inlineStr">
        <is>
          <t>Single-node Unified Memory</t>
        </is>
      </c>
      <c r="M7" s="27" t="n">
        <v>13499</v>
      </c>
      <c r="N7" s="19" t="n">
        <v>215</v>
      </c>
      <c r="O7" s="22">
        <f>(M7*(1-Exchange_Economics!$B$6))/(Exchange_Economics!$B$5*8760*Exchange_Economics!$B$8)+(N7/1000)*Exchange_Economics!$B$7</f>
        <v/>
      </c>
      <c r="P7" s="22">
        <f>(M7*(1-Exchange_Economics!$B$6))/(Exchange_Economics!$B$5*8760*Exchange_Economics!$B$9)+(N7/1000)*Exchange_Economics!$B$7</f>
        <v/>
      </c>
      <c r="Q7" s="19" t="inlineStr">
        <is>
          <t>Analytical projection only until retail units ship. Targets 400B-685B Q4 MoE resident weights.</t>
        </is>
      </c>
    </row>
    <row r="8" ht="22" customHeight="1">
      <c r="A8" s="24" t="inlineStr">
        <is>
          <t>HW-004</t>
        </is>
      </c>
      <c r="B8" s="13" t="inlineStr">
        <is>
          <t>NVIDIA</t>
        </is>
      </c>
      <c r="C8" s="13" t="inlineStr">
        <is>
          <t>DGX Spark 128GB (Single Node)</t>
        </is>
      </c>
      <c r="D8" s="13" t="inlineStr">
        <is>
          <t>NVIDIA GB10 Grace Blackwell Superchip (SM121)</t>
        </is>
      </c>
      <c r="E8" s="13" t="n">
        <v>1</v>
      </c>
      <c r="F8" s="13" t="n">
        <v>128</v>
      </c>
      <c r="G8" s="28">
        <f>E8*F8</f>
        <v/>
      </c>
      <c r="H8" s="13" t="inlineStr">
        <is>
          <t>Coherent Unified LPDDR5x</t>
        </is>
      </c>
      <c r="I8" s="13" t="n">
        <v>273</v>
      </c>
      <c r="J8" s="28">
        <f>E8*I8</f>
        <v/>
      </c>
      <c r="K8" s="13" t="inlineStr">
        <is>
          <t>~1,000 TOPS/TFLOPS FP4 Blackwell Tensor Cores</t>
        </is>
      </c>
      <c r="L8" s="13" t="inlineStr">
        <is>
          <t>Single-node NVLink-C2C</t>
        </is>
      </c>
      <c r="M8" s="29" t="n">
        <v>4699</v>
      </c>
      <c r="N8" s="13" t="n">
        <v>125</v>
      </c>
      <c r="O8" s="16">
        <f>(M8*(1-Exchange_Economics!$B$6))/(Exchange_Economics!$B$5*8760*Exchange_Economics!$B$8)+(N8/1000)*Exchange_Economics!$B$7</f>
        <v/>
      </c>
      <c r="P8" s="16">
        <f>(M8*(1-Exchange_Economics!$B$6))/(Exchange_Economics!$B$5*8760*Exchange_Economics!$B$9)+(N8/1000)*Exchange_Economics!$B$7</f>
        <v/>
      </c>
      <c r="Q8" s="13" t="inlineStr">
        <is>
          <t>Compute-heavy prefill monster (~2,000+ tok/s prefill) &amp; high-batch server, but decode-limited by 273 GB/s bandwidth.</t>
        </is>
      </c>
    </row>
    <row r="9" ht="22" customHeight="1">
      <c r="A9" s="25" t="inlineStr">
        <is>
          <t>HW-005</t>
        </is>
      </c>
      <c r="B9" s="19" t="inlineStr">
        <is>
          <t>NVIDIA</t>
        </is>
      </c>
      <c r="C9" s="19" t="inlineStr">
        <is>
          <t>2x DGX Spark 256GB Cluster</t>
        </is>
      </c>
      <c r="D9" s="19" t="inlineStr">
        <is>
          <t>2x NVIDIA GB10 Grace Blackwell (SM121)</t>
        </is>
      </c>
      <c r="E9" s="19" t="n">
        <v>2</v>
      </c>
      <c r="F9" s="19" t="n">
        <v>128</v>
      </c>
      <c r="G9" s="26">
        <f>E9*F9</f>
        <v/>
      </c>
      <c r="H9" s="19" t="inlineStr">
        <is>
          <t>Distributed Unified LPDDR5x (2x128GB)</t>
        </is>
      </c>
      <c r="I9" s="19" t="n">
        <v>273</v>
      </c>
      <c r="J9" s="26">
        <f>E9*I9</f>
        <v/>
      </c>
      <c r="K9" s="19" t="inlineStr">
        <is>
          <t>~2,000 TOPS/TFLOPS FP4 aggregate across 2 nodes</t>
        </is>
      </c>
      <c r="L9" s="19" t="inlineStr">
        <is>
          <t>ConnectX-7 200GbE QSFP112 RoCEv2 (~1.2us)</t>
        </is>
      </c>
      <c r="M9" s="27" t="n">
        <v>9398</v>
      </c>
      <c r="N9" s="19" t="n">
        <v>250</v>
      </c>
      <c r="O9" s="22">
        <f>(M9*(1-Exchange_Economics!$B$6))/(Exchange_Economics!$B$5*8760*Exchange_Economics!$B$8)+(N9/1000)*Exchange_Economics!$B$7</f>
        <v/>
      </c>
      <c r="P9" s="22">
        <f>(M9*(1-Exchange_Economics!$B$6))/(Exchange_Economics!$B$5*8760*Exchange_Economics!$B$9)+(N9/1000)*Exchange_Economics!$B$7</f>
        <v/>
      </c>
      <c r="Q9" s="19" t="inlineStr">
        <is>
          <t>Distributed 256GB via TP=2/EP=2 over 200GbE. Enables 235B+ MoE models that exceed single 128GB node.</t>
        </is>
      </c>
    </row>
  </sheetData>
  <autoFilter ref="A4:Q9"/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9" customWidth="1" min="3" max="3"/>
    <col width="29" customWidth="1" min="4" max="4"/>
    <col width="44" customWidth="1" min="5" max="5"/>
    <col width="18" customWidth="1" min="6" max="6"/>
    <col width="19" customWidth="1" min="7" max="7"/>
    <col width="21" customWidth="1" min="8" max="8"/>
    <col width="25" customWidth="1" min="9" max="9"/>
    <col width="19" customWidth="1" min="10" max="10"/>
    <col width="23" customWidth="1" min="11" max="11"/>
    <col width="22" customWidth="1" min="12" max="12"/>
    <col width="23" customWidth="1" min="13" max="13"/>
    <col width="30" customWidth="1" min="14" max="14"/>
    <col width="24" customWidth="1" min="15" max="15"/>
    <col width="46" customWidth="1" min="16" max="16"/>
    <col width="46" customWidth="1" min="17" max="17"/>
  </cols>
  <sheetData>
    <row r="1" ht="28" customHeight="1">
      <c r="A1" s="1" t="inlineStr">
        <is>
          <t>MODELS CATALOG &amp; ARTIFICIAL ANALYSIS v4.3.2 BASELINES (dim_models)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20" customHeight="1">
      <c r="A2" s="3" t="inlineStr">
        <is>
          <t>Verified October 2026 Artificial Analysis Intelligence Index (v4.3.2), active vs. resident parameters, and cloud API pricing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/>
    <row r="4" ht="28" customHeight="1">
      <c r="A4" s="10" t="inlineStr">
        <is>
          <t>model_id</t>
        </is>
      </c>
      <c r="B4" s="10" t="inlineStr">
        <is>
          <t>model_name</t>
        </is>
      </c>
      <c r="C4" s="10" t="inlineStr">
        <is>
          <t>provider_or_org</t>
        </is>
      </c>
      <c r="D4" s="10" t="inlineStr">
        <is>
          <t>license_type</t>
        </is>
      </c>
      <c r="E4" s="10" t="inlineStr">
        <is>
          <t>architecture</t>
        </is>
      </c>
      <c r="F4" s="10" t="inlineStr">
        <is>
          <t>total_params_b</t>
        </is>
      </c>
      <c r="G4" s="10" t="inlineStr">
        <is>
          <t>active_params_b</t>
        </is>
      </c>
      <c r="H4" s="10" t="inlineStr">
        <is>
          <t>resident_params_b</t>
        </is>
      </c>
      <c r="I4" s="10" t="inlineStr">
        <is>
          <t>aa_intelligence_index</t>
        </is>
      </c>
      <c r="J4" s="10" t="inlineStr">
        <is>
          <t>aa_coding_index</t>
        </is>
      </c>
      <c r="K4" s="10" t="inlineStr">
        <is>
          <t>aa_speed_output_tps</t>
        </is>
      </c>
      <c r="L4" s="10" t="inlineStr">
        <is>
          <t>aa_input_usd_per_m</t>
        </is>
      </c>
      <c r="M4" s="10" t="inlineStr">
        <is>
          <t>aa_output_usd_per_m</t>
        </is>
      </c>
      <c r="N4" s="11" t="inlineStr">
        <is>
          <t>aa_price_blended_usd_per_m</t>
        </is>
      </c>
      <c r="O4" s="10" t="inlineStr">
        <is>
          <t>aa_cost_per_task_usd</t>
        </is>
      </c>
      <c r="P4" s="10" t="inlineStr">
        <is>
          <t>recommended_local_fit</t>
        </is>
      </c>
      <c r="Q4" s="10" t="inlineStr">
        <is>
          <t>notes</t>
        </is>
      </c>
    </row>
    <row r="5" ht="22" customHeight="1">
      <c r="A5" s="25" t="inlineStr">
        <is>
          <t>MOD-001</t>
        </is>
      </c>
      <c r="B5" s="25" t="inlineStr">
        <is>
          <t>Claude Opus 5.5 (Max)</t>
        </is>
      </c>
      <c r="C5" s="19" t="inlineStr">
        <is>
          <t>Anthropic</t>
        </is>
      </c>
      <c r="D5" s="19" t="inlineStr">
        <is>
          <t>Proprietary API</t>
        </is>
      </c>
      <c r="E5" s="19" t="inlineStr">
        <is>
          <t>Proprietary Frontier Reasoning</t>
        </is>
      </c>
      <c r="F5" s="20" t="n">
        <v>0</v>
      </c>
      <c r="G5" s="20" t="n">
        <v>0</v>
      </c>
      <c r="H5" s="20" t="n">
        <v>0</v>
      </c>
      <c r="I5" s="20" t="n">
        <v>58</v>
      </c>
      <c r="J5" s="20" t="n">
        <v>55.4</v>
      </c>
      <c r="K5" s="20" t="n">
        <v>95</v>
      </c>
      <c r="L5" s="30" t="n">
        <v>4</v>
      </c>
      <c r="M5" s="30" t="n">
        <v>20</v>
      </c>
      <c r="N5" s="22">
        <f>(3*L5+M5)/4</f>
        <v/>
      </c>
      <c r="O5" s="30" t="n">
        <v>5.98</v>
      </c>
      <c r="P5" s="19" t="inlineStr">
        <is>
          <t>Cloud API Reference Only</t>
        </is>
      </c>
      <c r="Q5" s="19" t="inlineStr">
        <is>
          <t>AA v4.3.2 #1 overall intelligence ceiling (58). $4/$20 per 1M tokens ($8.00 3:1 blended).</t>
        </is>
      </c>
    </row>
    <row r="6" ht="22" customHeight="1">
      <c r="A6" s="24" t="inlineStr">
        <is>
          <t>MOD-002</t>
        </is>
      </c>
      <c r="B6" s="24" t="inlineStr">
        <is>
          <t>GPT-6.1 Sol (xhigh)</t>
        </is>
      </c>
      <c r="C6" s="13" t="inlineStr">
        <is>
          <t>OpenAI</t>
        </is>
      </c>
      <c r="D6" s="13" t="inlineStr">
        <is>
          <t>Proprietary API</t>
        </is>
      </c>
      <c r="E6" s="13" t="inlineStr">
        <is>
          <t>Proprietary Frontier Reasoning</t>
        </is>
      </c>
      <c r="F6" s="14" t="n">
        <v>0</v>
      </c>
      <c r="G6" s="14" t="n">
        <v>0</v>
      </c>
      <c r="H6" s="14" t="n">
        <v>0</v>
      </c>
      <c r="I6" s="14" t="n">
        <v>50</v>
      </c>
      <c r="J6" s="14" t="n">
        <v>45.7</v>
      </c>
      <c r="K6" s="14" t="n">
        <v>72</v>
      </c>
      <c r="L6" s="31" t="n">
        <v>2.5</v>
      </c>
      <c r="M6" s="31" t="n">
        <v>15</v>
      </c>
      <c r="N6" s="16">
        <f>(3*L6+M6)/4</f>
        <v/>
      </c>
      <c r="O6" s="31" t="n">
        <v>1.65</v>
      </c>
      <c r="P6" s="13" t="inlineStr">
        <is>
          <t>Cloud API Reference Only</t>
        </is>
      </c>
      <c r="Q6" s="13" t="inlineStr">
        <is>
          <t>AA v4.3.2 OpenAI flagship reference. High token efficiency on reasoning tasks.</t>
        </is>
      </c>
    </row>
    <row r="7" ht="22" customHeight="1">
      <c r="A7" s="25" t="inlineStr">
        <is>
          <t>MOD-003</t>
        </is>
      </c>
      <c r="B7" s="25" t="inlineStr">
        <is>
          <t>Gemini 3.8 Flash</t>
        </is>
      </c>
      <c r="C7" s="19" t="inlineStr">
        <is>
          <t>Google</t>
        </is>
      </c>
      <c r="D7" s="19" t="inlineStr">
        <is>
          <t>Proprietary API</t>
        </is>
      </c>
      <c r="E7" s="19" t="inlineStr">
        <is>
          <t>Proprietary Fast Frontier</t>
        </is>
      </c>
      <c r="F7" s="20" t="n">
        <v>0</v>
      </c>
      <c r="G7" s="20" t="n">
        <v>0</v>
      </c>
      <c r="H7" s="20" t="n">
        <v>0</v>
      </c>
      <c r="I7" s="20" t="n">
        <v>40</v>
      </c>
      <c r="J7" s="20" t="n">
        <v>40</v>
      </c>
      <c r="K7" s="20" t="n">
        <v>215</v>
      </c>
      <c r="L7" s="30" t="n">
        <v>0.15</v>
      </c>
      <c r="M7" s="30" t="n">
        <v>0.6</v>
      </c>
      <c r="N7" s="22">
        <f>(3*L7+M7)/4</f>
        <v/>
      </c>
      <c r="O7" s="30" t="n">
        <v>0.22</v>
      </c>
      <c r="P7" s="19" t="inlineStr">
        <is>
          <t>Cloud API Speed/Cost Baseline</t>
        </is>
      </c>
      <c r="Q7" s="19" t="inlineStr">
        <is>
          <t>Primary high-speed proprietary Flash baseline that local inference must beat on cost or privacy.</t>
        </is>
      </c>
    </row>
    <row r="8" ht="22" customHeight="1">
      <c r="A8" s="24" t="inlineStr">
        <is>
          <t>MOD-004</t>
        </is>
      </c>
      <c r="B8" s="24" t="inlineStr">
        <is>
          <t>GLM-5.3-Flash</t>
        </is>
      </c>
      <c r="C8" s="13" t="inlineStr">
        <is>
          <t>Zhipu AI (Z.ai)</t>
        </is>
      </c>
      <c r="D8" s="13" t="inlineStr">
        <is>
          <t>Open Weights (MIT)</t>
        </is>
      </c>
      <c r="E8" s="13" t="inlineStr">
        <is>
          <t>MoE (Hybrid Sparse + Linear Attention)</t>
        </is>
      </c>
      <c r="F8" s="14" t="n">
        <v>320</v>
      </c>
      <c r="G8" s="14" t="n">
        <v>18</v>
      </c>
      <c r="H8" s="14" t="n">
        <v>320</v>
      </c>
      <c r="I8" s="14" t="n">
        <v>42</v>
      </c>
      <c r="J8" s="14" t="n">
        <v>41.2</v>
      </c>
      <c r="K8" s="14" t="n">
        <v>67</v>
      </c>
      <c r="L8" s="31" t="n">
        <v>0.15</v>
      </c>
      <c r="M8" s="31" t="n">
        <v>0.5</v>
      </c>
      <c r="N8" s="16">
        <f>(3*L8+M8)/4</f>
        <v/>
      </c>
      <c r="O8" s="31" t="n">
        <v>0.28</v>
      </c>
      <c r="P8" s="13" t="inlineStr">
        <is>
          <t>M5 Ultra 256GB (Q4) / 2x DGX Spark 256GB (INT4)</t>
        </is>
      </c>
      <c r="Q8" s="13" t="inlineStr">
        <is>
          <t>AA v4.3.2 Score 42. 320B total / 18B active (~168GB in Q4). Cannot fit resident in 128GB without NVMe paging.</t>
        </is>
      </c>
    </row>
    <row r="9" ht="22" customHeight="1">
      <c r="A9" s="25" t="inlineStr">
        <is>
          <t>MOD-005</t>
        </is>
      </c>
      <c r="B9" s="25" t="inlineStr">
        <is>
          <t>DeepSeek-V4.1-Flash</t>
        </is>
      </c>
      <c r="C9" s="19" t="inlineStr">
        <is>
          <t>DeepSeek</t>
        </is>
      </c>
      <c r="D9" s="19" t="inlineStr">
        <is>
          <t>Open Weights (MIT)</t>
        </is>
      </c>
      <c r="E9" s="19" t="inlineStr">
        <is>
          <t>Causal Encoder-Decoder MoE + 196B Engram</t>
        </is>
      </c>
      <c r="F9" s="20" t="n">
        <v>748</v>
      </c>
      <c r="G9" s="20" t="n">
        <v>16</v>
      </c>
      <c r="H9" s="20" t="n">
        <v>552</v>
      </c>
      <c r="I9" s="20" t="n">
        <v>39</v>
      </c>
      <c r="J9" s="20" t="n">
        <v>38.5</v>
      </c>
      <c r="K9" s="20" t="n">
        <v>190</v>
      </c>
      <c r="L9" s="30" t="n">
        <v>0.044</v>
      </c>
      <c r="M9" s="30" t="n">
        <v>0.765</v>
      </c>
      <c r="N9" s="22">
        <f>(3*L9+M9)/4</f>
        <v/>
      </c>
      <c r="O9" s="30" t="n">
        <v>0.27</v>
      </c>
      <c r="P9" s="19" t="inlineStr">
        <is>
          <t>M5 Ultra 512GB (Q4) or M5 Ultra 256GB (Q2/Q3 + NVMe Engram)</t>
        </is>
      </c>
      <c r="Q9" s="19" t="inlineStr">
        <is>
          <t>AA v4.3.2 Score 39. 552B MoE backbone (8B prefill / 16B decode active) + 196B Engram table on NVMe.</t>
        </is>
      </c>
    </row>
    <row r="10" ht="22" customHeight="1">
      <c r="A10" s="24" t="inlineStr">
        <is>
          <t>MOD-006</t>
        </is>
      </c>
      <c r="B10" s="24" t="inlineStr">
        <is>
          <t>Qwen3-235B-A22B-Instruct</t>
        </is>
      </c>
      <c r="C10" s="13" t="inlineStr">
        <is>
          <t>Alibaba Qwen</t>
        </is>
      </c>
      <c r="D10" s="13" t="inlineStr">
        <is>
          <t>Open Weights (Apache-2.0)</t>
        </is>
      </c>
      <c r="E10" s="13" t="inlineStr">
        <is>
          <t>MoE</t>
        </is>
      </c>
      <c r="F10" s="14" t="n">
        <v>235</v>
      </c>
      <c r="G10" s="14" t="n">
        <v>22</v>
      </c>
      <c r="H10" s="14" t="n">
        <v>235</v>
      </c>
      <c r="I10" s="14" t="n">
        <v>37</v>
      </c>
      <c r="J10" s="14" t="n">
        <v>35.8</v>
      </c>
      <c r="K10" s="14" t="n">
        <v>62</v>
      </c>
      <c r="L10" s="31" t="n">
        <v>0.2</v>
      </c>
      <c r="M10" s="31" t="n">
        <v>0.8</v>
      </c>
      <c r="N10" s="16">
        <f>(3*L10+M10)/4</f>
        <v/>
      </c>
      <c r="O10" s="31" t="n">
        <v>0.44</v>
      </c>
      <c r="P10" s="13" t="inlineStr">
        <is>
          <t>M5 Ultra 256GB (Q4) / 2x DGX Spark 256GB (GPTQ-Marlin)</t>
        </is>
      </c>
      <c r="Q10" s="13" t="inlineStr">
        <is>
          <t>Verified on 2x DGX Spark by Conselara Labs (17.0 tok/s single, 36.4 tok/s at b=4) and M5 Ultra 256GB.</t>
        </is>
      </c>
    </row>
    <row r="11" ht="22" customHeight="1">
      <c r="A11" s="25" t="inlineStr">
        <is>
          <t>MOD-007</t>
        </is>
      </c>
      <c r="B11" s="25" t="inlineStr">
        <is>
          <t>Qwen3.5-122B-A10B</t>
        </is>
      </c>
      <c r="C11" s="19" t="inlineStr">
        <is>
          <t>Alibaba Qwen</t>
        </is>
      </c>
      <c r="D11" s="19" t="inlineStr">
        <is>
          <t>Open Weights (Apache-2.0)</t>
        </is>
      </c>
      <c r="E11" s="19" t="inlineStr">
        <is>
          <t>MoE</t>
        </is>
      </c>
      <c r="F11" s="20" t="n">
        <v>122</v>
      </c>
      <c r="G11" s="20" t="n">
        <v>10</v>
      </c>
      <c r="H11" s="20" t="n">
        <v>122</v>
      </c>
      <c r="I11" s="20" t="n">
        <v>35.5</v>
      </c>
      <c r="J11" s="20" t="n">
        <v>34.9</v>
      </c>
      <c r="K11" s="20" t="n">
        <v>88</v>
      </c>
      <c r="L11" s="30" t="n">
        <v>0.18</v>
      </c>
      <c r="M11" s="30" t="n">
        <v>0.65</v>
      </c>
      <c r="N11" s="22">
        <f>(3*L11+M11)/4</f>
        <v/>
      </c>
      <c r="O11" s="30" t="n">
        <v>0.36</v>
      </c>
      <c r="P11" s="19" t="inlineStr">
        <is>
          <t>M5 Max 128GB / DGX Spark 128GB / M5 Ultra 256GB</t>
        </is>
      </c>
      <c r="Q11" s="19" t="inlineStr">
        <is>
          <t>122B total / 10B active (~65GB in Q4). Fits comfortably on single 128GB node with 10B active decode speed.</t>
        </is>
      </c>
    </row>
    <row r="12" ht="22" customHeight="1">
      <c r="A12" s="24" t="inlineStr">
        <is>
          <t>MOD-008</t>
        </is>
      </c>
      <c r="B12" s="24" t="inlineStr">
        <is>
          <t>gpt-oss-120b</t>
        </is>
      </c>
      <c r="C12" s="13" t="inlineStr">
        <is>
          <t>OpenAI</t>
        </is>
      </c>
      <c r="D12" s="13" t="inlineStr">
        <is>
          <t>Open Weights (Apache-2.0)</t>
        </is>
      </c>
      <c r="E12" s="13" t="inlineStr">
        <is>
          <t>MoE</t>
        </is>
      </c>
      <c r="F12" s="14" t="n">
        <v>117</v>
      </c>
      <c r="G12" s="14" t="n">
        <v>5.1</v>
      </c>
      <c r="H12" s="14" t="n">
        <v>117</v>
      </c>
      <c r="I12" s="14" t="n">
        <v>33</v>
      </c>
      <c r="J12" s="14" t="n">
        <v>32.5</v>
      </c>
      <c r="K12" s="14" t="n">
        <v>145</v>
      </c>
      <c r="L12" s="31" t="n">
        <v>0.1</v>
      </c>
      <c r="M12" s="31" t="n">
        <v>0.4</v>
      </c>
      <c r="N12" s="16">
        <f>(3*L12+M12)/4</f>
        <v/>
      </c>
      <c r="O12" s="31" t="n">
        <v>0.25</v>
      </c>
      <c r="P12" s="13" t="inlineStr">
        <is>
          <t>DGX Spark 128GB (MXFP4) / M5 Max 128GB (MLX Q4)</t>
        </is>
      </c>
      <c r="Q12" s="13" t="inlineStr">
        <is>
          <t>117B total / 5.1B active (~61GB MXFP4). Verified 58.7 tok/s decode &amp; 2,053 tok/s prefill on single DGX Spark.</t>
        </is>
      </c>
    </row>
    <row r="13" ht="22" customHeight="1">
      <c r="A13" s="25" t="inlineStr">
        <is>
          <t>MOD-009</t>
        </is>
      </c>
      <c r="B13" s="25" t="inlineStr">
        <is>
          <t>Qwen3.8-27B (xhigh)</t>
        </is>
      </c>
      <c r="C13" s="19" t="inlineStr">
        <is>
          <t>Alibaba Qwen</t>
        </is>
      </c>
      <c r="D13" s="19" t="inlineStr">
        <is>
          <t>Open Weights (Apache-2.0)</t>
        </is>
      </c>
      <c r="E13" s="19" t="inlineStr">
        <is>
          <t>Dense</t>
        </is>
      </c>
      <c r="F13" s="20" t="n">
        <v>27</v>
      </c>
      <c r="G13" s="20" t="n">
        <v>27</v>
      </c>
      <c r="H13" s="20" t="n">
        <v>27</v>
      </c>
      <c r="I13" s="20" t="n">
        <v>34</v>
      </c>
      <c r="J13" s="20" t="n">
        <v>33.8</v>
      </c>
      <c r="K13" s="20" t="n">
        <v>45</v>
      </c>
      <c r="L13" s="30" t="n">
        <v>0.5</v>
      </c>
      <c r="M13" s="30" t="n">
        <v>3</v>
      </c>
      <c r="N13" s="22">
        <f>(3*L13+M13)/4</f>
        <v/>
      </c>
      <c r="O13" s="30" t="n">
        <v>1.01</v>
      </c>
      <c r="P13" s="19" t="inlineStr">
        <is>
          <t>M5 Max 128GB / M5 Ultra 256GB / DGX Spark 128GB</t>
        </is>
      </c>
      <c r="Q13" s="19" t="inlineStr">
        <is>
          <t>AA v4.3.2 #1 small open-weight model (34). Cloud API charges $3.00/1M out ($1.01/task)—prime local arbitrage target.</t>
        </is>
      </c>
    </row>
    <row r="14" ht="22" customHeight="1">
      <c r="A14" s="24" t="inlineStr">
        <is>
          <t>MOD-010</t>
        </is>
      </c>
      <c r="B14" s="24" t="inlineStr">
        <is>
          <t>GLM-4.7-Flash-30B-A3B</t>
        </is>
      </c>
      <c r="C14" s="13" t="inlineStr">
        <is>
          <t>Zhipu AI (Z.ai)</t>
        </is>
      </c>
      <c r="D14" s="13" t="inlineStr">
        <is>
          <t>Open Weights (MIT)</t>
        </is>
      </c>
      <c r="E14" s="13" t="inlineStr">
        <is>
          <t>MoE</t>
        </is>
      </c>
      <c r="F14" s="14" t="n">
        <v>30</v>
      </c>
      <c r="G14" s="14" t="n">
        <v>3</v>
      </c>
      <c r="H14" s="14" t="n">
        <v>30</v>
      </c>
      <c r="I14" s="14" t="n">
        <v>29.5</v>
      </c>
      <c r="J14" s="14" t="n">
        <v>28.9</v>
      </c>
      <c r="K14" s="14" t="n">
        <v>160</v>
      </c>
      <c r="L14" s="31" t="n">
        <v>0.07000000000000001</v>
      </c>
      <c r="M14" s="31" t="n">
        <v>0.25</v>
      </c>
      <c r="N14" s="16">
        <f>(3*L14+M14)/4</f>
        <v/>
      </c>
      <c r="O14" s="31" t="n">
        <v>0.14</v>
      </c>
      <c r="P14" s="13" t="inlineStr">
        <is>
          <t>M5 Max 128GB / DGX Spark 128GB</t>
        </is>
      </c>
      <c r="Q14" s="13" t="inlineStr">
        <is>
          <t>30B total / 3B active (~16.5GB Q4, ~24GB Q6). Ultra-fast local agentic sub-router model (&gt;110 tok/s on M5 Max).</t>
        </is>
      </c>
    </row>
    <row r="15" ht="22" customHeight="1">
      <c r="A15" s="25" t="inlineStr">
        <is>
          <t>MOD-011</t>
        </is>
      </c>
      <c r="B15" s="25" t="inlineStr">
        <is>
          <t>Qwen3-8B</t>
        </is>
      </c>
      <c r="C15" s="19" t="inlineStr">
        <is>
          <t>Alibaba Qwen</t>
        </is>
      </c>
      <c r="D15" s="19" t="inlineStr">
        <is>
          <t>Open Weights (Apache-2.0)</t>
        </is>
      </c>
      <c r="E15" s="19" t="inlineStr">
        <is>
          <t>Dense</t>
        </is>
      </c>
      <c r="F15" s="20" t="n">
        <v>8.199999999999999</v>
      </c>
      <c r="G15" s="20" t="n">
        <v>8.199999999999999</v>
      </c>
      <c r="H15" s="20" t="n">
        <v>8.199999999999999</v>
      </c>
      <c r="I15" s="20" t="n">
        <v>24</v>
      </c>
      <c r="J15" s="20" t="n">
        <v>23.1</v>
      </c>
      <c r="K15" s="20" t="n">
        <v>140</v>
      </c>
      <c r="L15" s="30" t="n">
        <v>0.05</v>
      </c>
      <c r="M15" s="30" t="n">
        <v>0.15</v>
      </c>
      <c r="N15" s="22">
        <f>(3*L15+M15)/4</f>
        <v/>
      </c>
      <c r="O15" s="30" t="n">
        <v>0.07000000000000001</v>
      </c>
      <c r="P15" s="19" t="inlineStr">
        <is>
          <t>M5 Max 128GB / DGX Spark 128GB</t>
        </is>
      </c>
      <c r="Q15" s="19" t="inlineStr">
        <is>
          <t>Verified in vllm-mlx #637 on M5 Max 128GB across concurrency c=1 to c=15.</t>
        </is>
      </c>
    </row>
  </sheetData>
  <autoFilter ref="A4:Q15"/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28" customWidth="1" min="4" max="4"/>
    <col width="18" customWidth="1" min="5" max="5"/>
    <col width="30" customWidth="1" min="6" max="6"/>
    <col width="14" customWidth="1" min="7" max="7"/>
    <col width="27" customWidth="1" min="8" max="8"/>
    <col width="46" customWidth="1" min="9" max="9"/>
    <col width="18" customWidth="1" min="10" max="10"/>
    <col width="26" customWidth="1" min="11" max="11"/>
    <col width="32" customWidth="1" min="12" max="12"/>
    <col width="26" customWidth="1" min="13" max="13"/>
    <col width="24" customWidth="1" min="14" max="14"/>
    <col width="30" customWidth="1" min="15" max="15"/>
    <col width="31" customWidth="1" min="16" max="16"/>
    <col width="23" customWidth="1" min="17" max="17"/>
    <col width="33" customWidth="1" min="18" max="18"/>
    <col width="46" customWidth="1" min="19" max="19"/>
    <col width="46" customWidth="1" min="20" max="20"/>
  </cols>
  <sheetData>
    <row r="1" ht="28" customHeight="1">
      <c r="A1" s="1" t="inlineStr">
        <is>
          <t>REPRODUCIBLE EXECUTION RECIPES (dim_recipes)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3" t="inlineStr">
        <is>
          <t>Verified CLI launch configurations, quantization bit-widths, KV cache modes, and concurrency sweet spots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/>
    <row r="4" ht="28" customHeight="1">
      <c r="A4" s="10" t="inlineStr">
        <is>
          <t>recipe_id</t>
        </is>
      </c>
      <c r="B4" s="10" t="inlineStr">
        <is>
          <t>hardware_id</t>
        </is>
      </c>
      <c r="C4" s="11" t="inlineStr">
        <is>
          <t>system_name</t>
        </is>
      </c>
      <c r="D4" s="10" t="inlineStr">
        <is>
          <t>model_name</t>
        </is>
      </c>
      <c r="E4" s="11" t="inlineStr">
        <is>
          <t>total_params_b</t>
        </is>
      </c>
      <c r="F4" s="10" t="inlineStr">
        <is>
          <t>quantization</t>
        </is>
      </c>
      <c r="G4" s="10" t="inlineStr">
        <is>
          <t>quant_bits</t>
        </is>
      </c>
      <c r="H4" s="10" t="inlineStr">
        <is>
          <t>engine</t>
        </is>
      </c>
      <c r="I4" s="10" t="inlineStr">
        <is>
          <t>launch_or_runtime_recipe</t>
        </is>
      </c>
      <c r="J4" s="10" t="inlineStr">
        <is>
          <t>context_target</t>
        </is>
      </c>
      <c r="K4" s="10" t="inlineStr">
        <is>
          <t>kv_cache_mode</t>
        </is>
      </c>
      <c r="L4" s="10" t="inlineStr">
        <is>
          <t>speculative_decoding</t>
        </is>
      </c>
      <c r="M4" s="10" t="inlineStr">
        <is>
          <t>concurrency_sweet_spot</t>
        </is>
      </c>
      <c r="N4" s="10" t="inlineStr">
        <is>
          <t>expected_prefill_tps</t>
        </is>
      </c>
      <c r="O4" s="10" t="inlineStr">
        <is>
          <t>expected_decode_tps_single</t>
        </is>
      </c>
      <c r="P4" s="10" t="inlineStr">
        <is>
          <t>expected_decode_tps_batched</t>
        </is>
      </c>
      <c r="Q4" s="10" t="inlineStr">
        <is>
          <t>memory_footprint_gb</t>
        </is>
      </c>
      <c r="R4" s="10" t="inlineStr">
        <is>
          <t>stability_rating</t>
        </is>
      </c>
      <c r="S4" s="10" t="inlineStr">
        <is>
          <t>source_url</t>
        </is>
      </c>
      <c r="T4" s="10" t="inlineStr">
        <is>
          <t>notes</t>
        </is>
      </c>
    </row>
    <row r="5" ht="22" customHeight="1">
      <c r="A5" s="25" t="inlineStr">
        <is>
          <t>REC-001</t>
        </is>
      </c>
      <c r="B5" s="19" t="inlineStr">
        <is>
          <t>HW-004</t>
        </is>
      </c>
      <c r="C5" s="26">
        <f>INDEX(Hardware!$C$5:$C$9, MATCH(B5, Hardware!$A$5:$A$9, 0))</f>
        <v/>
      </c>
      <c r="D5" s="19" t="inlineStr">
        <is>
          <t>gpt-oss-120b</t>
        </is>
      </c>
      <c r="E5" s="26">
        <f>INDEX(Models!$F$5:$F$15, MATCH(D5, Models!$B$5:$B$15, 0))</f>
        <v/>
      </c>
      <c r="F5" s="19" t="inlineStr">
        <is>
          <t>MXFP4</t>
        </is>
      </c>
      <c r="G5" s="19" t="n">
        <v>4.25</v>
      </c>
      <c r="H5" s="19" t="inlineStr">
        <is>
          <t>vLLM (Container 26.01+)</t>
        </is>
      </c>
      <c r="I5" s="19" t="inlineStr">
        <is>
          <t>vllm serve openai/gpt-oss-120b --quantization mxfp4 --gpu-memory-utilization 0.90 --max-cudagraph-capture-size 2048 --enable-prefix-caching</t>
        </is>
      </c>
      <c r="J5" s="19" t="n">
        <v>32768</v>
      </c>
      <c r="K5" s="19" t="inlineStr">
        <is>
          <t>FP8</t>
        </is>
      </c>
      <c r="L5" s="19" t="inlineStr">
        <is>
          <t>None</t>
        </is>
      </c>
      <c r="M5" s="19" t="inlineStr">
        <is>
          <t>1-16</t>
        </is>
      </c>
      <c r="N5" s="19" t="n">
        <v>2053</v>
      </c>
      <c r="O5" s="19" t="n">
        <v>58.7</v>
      </c>
      <c r="P5" s="19" t="n">
        <v>198</v>
      </c>
      <c r="Q5" s="19" t="n">
        <v>68.40000000000001</v>
      </c>
      <c r="R5" s="19" t="inlineStr">
        <is>
          <t>Production (Verified)</t>
        </is>
      </c>
      <c r="S5" s="19" t="inlineStr">
        <is>
          <t>https://conselara.dev/notes/dgx-spark-benchmarks/</t>
        </is>
      </c>
      <c r="T5" s="19" t="inlineStr">
        <is>
          <t>Conselara Labs verified single-node DGX Spark benchmark: 2,053 tok/s prefill (2k prompt) &amp; 57.5-60.0 tok/s pure decode.</t>
        </is>
      </c>
    </row>
    <row r="6" ht="22" customHeight="1">
      <c r="A6" s="24" t="inlineStr">
        <is>
          <t>REC-002</t>
        </is>
      </c>
      <c r="B6" s="13" t="inlineStr">
        <is>
          <t>HW-005</t>
        </is>
      </c>
      <c r="C6" s="28">
        <f>INDEX(Hardware!$C$5:$C$9, MATCH(B6, Hardware!$A$5:$A$9, 0))</f>
        <v/>
      </c>
      <c r="D6" s="13" t="inlineStr">
        <is>
          <t>Qwen3-235B-A22B-Instruct</t>
        </is>
      </c>
      <c r="E6" s="28">
        <f>INDEX(Models!$F$5:$F$15, MATCH(D6, Models!$B$5:$B$15, 0))</f>
        <v/>
      </c>
      <c r="F6" s="13" t="inlineStr">
        <is>
          <t>GPTQ-Int4 (Marlin)</t>
        </is>
      </c>
      <c r="G6" s="13" t="n">
        <v>4</v>
      </c>
      <c r="H6" s="13" t="inlineStr">
        <is>
          <t>vLLM (Ray TP=2, EP=2)</t>
        </is>
      </c>
      <c r="I6" s="13" t="inlineStr">
        <is>
          <t>vllm serve Qwen/Qwen3-235B-A22B-GPTQ-Int4 --quantization gptq_marlin --tensor-parallel-size 2 --enable-expert-parallel --gpu-memory-utilization 0.85</t>
        </is>
      </c>
      <c r="J6" s="13" t="n">
        <v>32768</v>
      </c>
      <c r="K6" s="13" t="inlineStr">
        <is>
          <t>FP8</t>
        </is>
      </c>
      <c r="L6" s="13" t="inlineStr">
        <is>
          <t>None</t>
        </is>
      </c>
      <c r="M6" s="13" t="inlineStr">
        <is>
          <t>1-4</t>
        </is>
      </c>
      <c r="N6" s="13" t="n">
        <v>920</v>
      </c>
      <c r="O6" s="13" t="n">
        <v>17</v>
      </c>
      <c r="P6" s="13" t="n">
        <v>36.4</v>
      </c>
      <c r="Q6" s="13" t="n">
        <v>148</v>
      </c>
      <c r="R6" s="13" t="inlineStr">
        <is>
          <t>Production (Verified)</t>
        </is>
      </c>
      <c r="S6" s="13" t="inlineStr">
        <is>
          <t>https://conselara.dev/notes/dgx-spark-benchmarks/</t>
        </is>
      </c>
      <c r="T6" s="13" t="inlineStr">
        <is>
          <t>Verified by Conselara Labs on 2x DGX Spark over 200GbE QSFP112. Note: gptq_marlin (17.0 tok/s) beats NVFP4 (11.73 tok/s) on SM121.</t>
        </is>
      </c>
    </row>
    <row r="7" ht="22" customHeight="1">
      <c r="A7" s="25" t="inlineStr">
        <is>
          <t>REC-003</t>
        </is>
      </c>
      <c r="B7" s="19" t="inlineStr">
        <is>
          <t>HW-001</t>
        </is>
      </c>
      <c r="C7" s="26">
        <f>INDEX(Hardware!$C$5:$C$9, MATCH(B7, Hardware!$A$5:$A$9, 0))</f>
        <v/>
      </c>
      <c r="D7" s="19" t="inlineStr">
        <is>
          <t>Qwen3-8B</t>
        </is>
      </c>
      <c r="E7" s="26">
        <f>INDEX(Models!$F$5:$F$15, MATCH(D7, Models!$B$5:$B$15, 0))</f>
        <v/>
      </c>
      <c r="F7" s="19" t="inlineStr">
        <is>
          <t>MLX-4bit</t>
        </is>
      </c>
      <c r="G7" s="19" t="n">
        <v>4.5</v>
      </c>
      <c r="H7" s="19" t="inlineStr">
        <is>
          <t>vllm-mlx v0.4.0</t>
        </is>
      </c>
      <c r="I7" s="19" t="inlineStr">
        <is>
          <t>vllm-mlx serve mlx-community/Qwen3-8B-4bit --continuous-batching --max-num-seqs 16 --enable-prefix-caching</t>
        </is>
      </c>
      <c r="J7" s="19" t="n">
        <v>16384</v>
      </c>
      <c r="K7" s="19" t="inlineStr">
        <is>
          <t>FP16</t>
        </is>
      </c>
      <c r="L7" s="19" t="inlineStr">
        <is>
          <t>None</t>
        </is>
      </c>
      <c r="M7" s="19" t="inlineStr">
        <is>
          <t>4-8</t>
        </is>
      </c>
      <c r="N7" s="19" t="n">
        <v>1450</v>
      </c>
      <c r="O7" s="19" t="n">
        <v>98.5</v>
      </c>
      <c r="P7" s="19" t="n">
        <v>285</v>
      </c>
      <c r="Q7" s="19" t="n">
        <v>14.2</v>
      </c>
      <c r="R7" s="19" t="inlineStr">
        <is>
          <t>Production (Verified)</t>
        </is>
      </c>
      <c r="S7" s="19" t="inlineStr">
        <is>
          <t>https://github.com/waybarrios/vllm-mlx/discussions/637</t>
        </is>
      </c>
      <c r="T7" s="19" t="inlineStr">
        <is>
          <t>Actual benchmark from vllm-mlx Discussion #637 on M5 Max 128GB: IELTS scoring workload across concurrency c=1 to c=15.</t>
        </is>
      </c>
    </row>
    <row r="8" ht="22" customHeight="1">
      <c r="A8" s="24" t="inlineStr">
        <is>
          <t>REC-004</t>
        </is>
      </c>
      <c r="B8" s="13" t="inlineStr">
        <is>
          <t>HW-001</t>
        </is>
      </c>
      <c r="C8" s="28">
        <f>INDEX(Hardware!$C$5:$C$9, MATCH(B8, Hardware!$A$5:$A$9, 0))</f>
        <v/>
      </c>
      <c r="D8" s="13" t="inlineStr">
        <is>
          <t>Qwen3.8-27B (xhigh)</t>
        </is>
      </c>
      <c r="E8" s="28">
        <f>INDEX(Models!$F$5:$F$15, MATCH(D8, Models!$B$5:$B$15, 0))</f>
        <v/>
      </c>
      <c r="F8" s="13" t="inlineStr">
        <is>
          <t>MLX-4bit</t>
        </is>
      </c>
      <c r="G8" s="13" t="n">
        <v>4.5</v>
      </c>
      <c r="H8" s="13" t="inlineStr">
        <is>
          <t>vllm-mlx v0.4.2</t>
        </is>
      </c>
      <c r="I8" s="13" t="inlineStr">
        <is>
          <t>vllm-mlx serve mlx-community/Qwen3.8-27B-4bit --continuous-batching --kv-bits 8 --enable-prefix-caching</t>
        </is>
      </c>
      <c r="J8" s="13" t="n">
        <v>32768</v>
      </c>
      <c r="K8" s="13" t="inlineStr">
        <is>
          <t>Q8</t>
        </is>
      </c>
      <c r="L8" s="13" t="inlineStr">
        <is>
          <t>None</t>
        </is>
      </c>
      <c r="M8" s="13" t="inlineStr">
        <is>
          <t>2-4</t>
        </is>
      </c>
      <c r="N8" s="13" t="n">
        <v>740</v>
      </c>
      <c r="O8" s="13" t="n">
        <v>33.5</v>
      </c>
      <c r="P8" s="13" t="n">
        <v>78</v>
      </c>
      <c r="Q8" s="13" t="n">
        <v>19.8</v>
      </c>
      <c r="R8" s="13" t="inlineStr">
        <is>
          <t>Production</t>
        </is>
      </c>
      <c r="S8" s="13" t="inlineStr">
        <is>
          <t>https://github.com/waybarrios/vllm-mlx</t>
        </is>
      </c>
      <c r="T8" s="13" t="inlineStr">
        <is>
          <t>27B dense model in 4.5-bit (~15.2GB weights + 4.6GB KV cache). 614 GB/s roofline = 40.4 tok/s; achieves 33.5 tok/s (83% eff).</t>
        </is>
      </c>
    </row>
    <row r="9" ht="22" customHeight="1">
      <c r="A9" s="25" t="inlineStr">
        <is>
          <t>REC-005</t>
        </is>
      </c>
      <c r="B9" s="19" t="inlineStr">
        <is>
          <t>HW-002</t>
        </is>
      </c>
      <c r="C9" s="26">
        <f>INDEX(Hardware!$C$5:$C$9, MATCH(B9, Hardware!$A$5:$A$9, 0))</f>
        <v/>
      </c>
      <c r="D9" s="19" t="inlineStr">
        <is>
          <t>Qwen3.8-27B (xhigh)</t>
        </is>
      </c>
      <c r="E9" s="26">
        <f>INDEX(Models!$F$5:$F$15, MATCH(D9, Models!$B$5:$B$15, 0))</f>
        <v/>
      </c>
      <c r="F9" s="19" t="inlineStr">
        <is>
          <t>MLX-8bit</t>
        </is>
      </c>
      <c r="G9" s="19" t="n">
        <v>8</v>
      </c>
      <c r="H9" s="19" t="inlineStr">
        <is>
          <t>vllm-mlx v0.4.2</t>
        </is>
      </c>
      <c r="I9" s="19" t="inlineStr">
        <is>
          <t>vllm-mlx serve mlx-community/Qwen3.8-27B-8bit --continuous-batching --kv-bits 8 --enable-prefix-caching</t>
        </is>
      </c>
      <c r="J9" s="19" t="n">
        <v>65536</v>
      </c>
      <c r="K9" s="19" t="inlineStr">
        <is>
          <t>Q8</t>
        </is>
      </c>
      <c r="L9" s="19" t="inlineStr">
        <is>
          <t>None</t>
        </is>
      </c>
      <c r="M9" s="19" t="inlineStr">
        <is>
          <t>4-8</t>
        </is>
      </c>
      <c r="N9" s="19" t="n">
        <v>1180</v>
      </c>
      <c r="O9" s="19" t="n">
        <v>36.2</v>
      </c>
      <c r="P9" s="19" t="n">
        <v>96</v>
      </c>
      <c r="Q9" s="19" t="n">
        <v>36.5</v>
      </c>
      <c r="R9" s="19" t="inlineStr">
        <is>
          <t>Production</t>
        </is>
      </c>
      <c r="S9" s="19" t="inlineStr">
        <is>
          <t>https://github.com/waybarrios/vllm-mlx</t>
        </is>
      </c>
      <c r="T9" s="19" t="inlineStr">
        <is>
          <t>Near-lossless 8-bit dense 27B on M5 Ultra (1,200 GB/s / 27 GB = 44.4 tok/s roofline; 36.2 tok/s = 81.5% bandwidth efficiency).</t>
        </is>
      </c>
    </row>
    <row r="10" ht="22" customHeight="1">
      <c r="A10" s="24" t="inlineStr">
        <is>
          <t>REC-006</t>
        </is>
      </c>
      <c r="B10" s="13" t="inlineStr">
        <is>
          <t>HW-002</t>
        </is>
      </c>
      <c r="C10" s="28">
        <f>INDEX(Hardware!$C$5:$C$9, MATCH(B10, Hardware!$A$5:$A$9, 0))</f>
        <v/>
      </c>
      <c r="D10" s="13" t="inlineStr">
        <is>
          <t>GLM-5.3-Flash</t>
        </is>
      </c>
      <c r="E10" s="28">
        <f>INDEX(Models!$F$5:$F$15, MATCH(D10, Models!$B$5:$B$15, 0))</f>
        <v/>
      </c>
      <c r="F10" s="13" t="inlineStr">
        <is>
          <t>MLX-4bit</t>
        </is>
      </c>
      <c r="G10" s="13" t="n">
        <v>4.25</v>
      </c>
      <c r="H10" s="13" t="inlineStr">
        <is>
          <t>oMLX v0.22.0</t>
        </is>
      </c>
      <c r="I10" s="13" t="inlineStr">
        <is>
          <t>omlx serve zai-org/GLM-5.3-Flash-4bit --kv-quant q8 --tiered-ssd-cache /tmp/omlx_cache --max-batch-size 8</t>
        </is>
      </c>
      <c r="J10" s="13" t="n">
        <v>65536</v>
      </c>
      <c r="K10" s="13" t="inlineStr">
        <is>
          <t>Q8 + Tiered SSD Prefix</t>
        </is>
      </c>
      <c r="L10" s="13" t="inlineStr">
        <is>
          <t>None</t>
        </is>
      </c>
      <c r="M10" s="13" t="inlineStr">
        <is>
          <t>2-6</t>
        </is>
      </c>
      <c r="N10" s="13" t="n">
        <v>980</v>
      </c>
      <c r="O10" s="13" t="n">
        <v>88</v>
      </c>
      <c r="P10" s="13" t="n">
        <v>195</v>
      </c>
      <c r="Q10" s="13" t="n">
        <v>186</v>
      </c>
      <c r="R10" s="13" t="inlineStr">
        <is>
          <t>Experimental / Roofline Model</t>
        </is>
      </c>
      <c r="S10" s="13" t="inlineStr">
        <is>
          <t>https://github.com/jundot/omlx</t>
        </is>
      </c>
      <c r="T10" s="13" t="inlineStr">
        <is>
          <t>320B total params in 4.25-bit requires ~170GB weights + 16GB KV = 186GB (fits in 256GB M5 Ultra, NOT 128GB). 18B active -&gt; 125 tok/s roofline.</t>
        </is>
      </c>
    </row>
    <row r="11" ht="22" customHeight="1">
      <c r="A11" s="25" t="inlineStr">
        <is>
          <t>REC-007</t>
        </is>
      </c>
      <c r="B11" s="19" t="inlineStr">
        <is>
          <t>HW-001</t>
        </is>
      </c>
      <c r="C11" s="26">
        <f>INDEX(Hardware!$C$5:$C$9, MATCH(B11, Hardware!$A$5:$A$9, 0))</f>
        <v/>
      </c>
      <c r="D11" s="19" t="inlineStr">
        <is>
          <t>GLM-4.7-Flash-30B-A3B</t>
        </is>
      </c>
      <c r="E11" s="26">
        <f>INDEX(Models!$F$5:$F$15, MATCH(D11, Models!$B$5:$B$15, 0))</f>
        <v/>
      </c>
      <c r="F11" s="19" t="inlineStr">
        <is>
          <t>MLX-6bit</t>
        </is>
      </c>
      <c r="G11" s="19" t="n">
        <v>6</v>
      </c>
      <c r="H11" s="19" t="inlineStr">
        <is>
          <t>vllm-mlx v0.4.2</t>
        </is>
      </c>
      <c r="I11" s="19" t="inlineStr">
        <is>
          <t>vllm-mlx serve mlx-community/GLM-4.7-Flash-30B-A3B-6bit --continuous-batching --enable-prefix-caching</t>
        </is>
      </c>
      <c r="J11" s="19" t="n">
        <v>32768</v>
      </c>
      <c r="K11" s="19" t="inlineStr">
        <is>
          <t>Q8</t>
        </is>
      </c>
      <c r="L11" s="19" t="inlineStr">
        <is>
          <t>None</t>
        </is>
      </c>
      <c r="M11" s="19" t="inlineStr">
        <is>
          <t>4-8</t>
        </is>
      </c>
      <c r="N11" s="19" t="n">
        <v>1650</v>
      </c>
      <c r="O11" s="19" t="n">
        <v>135.2</v>
      </c>
      <c r="P11" s="19" t="n">
        <v>310</v>
      </c>
      <c r="Q11" s="19" t="n">
        <v>28.5</v>
      </c>
      <c r="R11" s="19" t="inlineStr">
        <is>
          <t>Production</t>
        </is>
      </c>
      <c r="S11" s="19" t="inlineStr">
        <is>
          <t>https://github.com/waybarrios/vllm-mlx</t>
        </is>
      </c>
      <c r="T11" s="19" t="inlineStr">
        <is>
          <t>Reconciles old EXP-006 row: 28.5GB footprint in 6-bit is physically GLM-4.7-Flash-30B-A3B (22.5GB weights + 6GB KV), NOT 320B GLM-5.3.</t>
        </is>
      </c>
    </row>
    <row r="12" ht="22" customHeight="1">
      <c r="A12" s="24" t="inlineStr">
        <is>
          <t>REC-008</t>
        </is>
      </c>
      <c r="B12" s="13" t="inlineStr">
        <is>
          <t>HW-002</t>
        </is>
      </c>
      <c r="C12" s="28">
        <f>INDEX(Hardware!$C$5:$C$9, MATCH(B12, Hardware!$A$5:$A$9, 0))</f>
        <v/>
      </c>
      <c r="D12" s="13" t="inlineStr">
        <is>
          <t>DeepSeek-V4.1-Flash</t>
        </is>
      </c>
      <c r="E12" s="28">
        <f>INDEX(Models!$F$5:$F$15, MATCH(D12, Models!$B$5:$B$15, 0))</f>
        <v/>
      </c>
      <c r="F12" s="13" t="inlineStr">
        <is>
          <t>Dynamic-Q2.7 + NVMe Engram</t>
        </is>
      </c>
      <c r="G12" s="13" t="n">
        <v>2.75</v>
      </c>
      <c r="H12" s="13" t="inlineStr">
        <is>
          <t>oMLX v0.22.0</t>
        </is>
      </c>
      <c r="I12" s="13" t="inlineStr">
        <is>
          <t>omlx serve deepseek-ai/DeepSeek-V4.1-Flash-UD-Q2_K_XL --engram-offload nvme --kv-quant q4 --enable-mtp</t>
        </is>
      </c>
      <c r="J12" s="13" t="n">
        <v>65536</v>
      </c>
      <c r="K12" s="13" t="inlineStr">
        <is>
          <t>Q4 + NVMe Engram Table</t>
        </is>
      </c>
      <c r="L12" s="13" t="inlineStr">
        <is>
          <t>MTP (Multi-Token Prediction)</t>
        </is>
      </c>
      <c r="M12" s="13" t="inlineStr">
        <is>
          <t>1-4</t>
        </is>
      </c>
      <c r="N12" s="13" t="n">
        <v>840</v>
      </c>
      <c r="O12" s="13" t="n">
        <v>48.2</v>
      </c>
      <c r="P12" s="13" t="n">
        <v>115</v>
      </c>
      <c r="Q12" s="13" t="n">
        <v>212</v>
      </c>
      <c r="R12" s="13" t="inlineStr">
        <is>
          <t>Experimental / Roofline Model</t>
        </is>
      </c>
      <c r="S12" s="13" t="inlineStr">
        <is>
          <t>https://huggingface.co/deepseek-ai</t>
        </is>
      </c>
      <c r="T12" s="13" t="inlineStr">
        <is>
          <t>552B MoE backbone quantized to 2.75-bit (~190GB RAM) + 196B Engram lookup streamed from NVMe SSD (~22GB active cache).</t>
        </is>
      </c>
    </row>
  </sheetData>
  <autoFilter ref="A4:T12"/>
  <mergeCells count="2">
    <mergeCell ref="A1:T1"/>
    <mergeCell ref="A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6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28" customWidth="1" min="3" max="3"/>
    <col width="15" customWidth="1" min="4" max="4"/>
    <col width="18" customWidth="1" min="5" max="5"/>
    <col width="18" customWidth="1" min="6" max="6"/>
    <col width="18" customWidth="1" min="7" max="7"/>
    <col width="22" customWidth="1" min="8" max="8"/>
    <col width="19" customWidth="1" min="9" max="9"/>
    <col width="25" customWidth="1" min="10" max="10"/>
    <col width="18" customWidth="1" min="11" max="11"/>
    <col width="19" customWidth="1" min="12" max="12"/>
    <col width="15" customWidth="1" min="13" max="13"/>
    <col width="34" customWidth="1" min="14" max="14"/>
    <col width="28" customWidth="1" min="15" max="15"/>
    <col width="19" customWidth="1" min="16" max="16"/>
    <col width="18" customWidth="1" min="17" max="17"/>
    <col width="18" customWidth="1" min="18" max="18"/>
    <col width="19" customWidth="1" min="19" max="19"/>
    <col width="21" customWidth="1" min="20" max="20"/>
    <col width="30" customWidth="1" min="21" max="21"/>
    <col width="14" customWidth="1" min="22" max="22"/>
    <col width="16" customWidth="1" min="23" max="23"/>
    <col width="15" customWidth="1" min="24" max="24"/>
    <col width="15" customWidth="1" min="25" max="25"/>
    <col width="21" customWidth="1" min="26" max="26"/>
    <col width="18" customWidth="1" min="27" max="27"/>
    <col width="11" customWidth="1" min="28" max="28"/>
    <col width="18" customWidth="1" min="29" max="29"/>
    <col width="19" customWidth="1" min="30" max="30"/>
    <col width="21" customWidth="1" min="31" max="31"/>
    <col width="28" customWidth="1" min="32" max="32"/>
    <col width="28" customWidth="1" min="33" max="33"/>
    <col width="23" customWidth="1" min="34" max="34"/>
    <col width="28" customWidth="1" min="35" max="35"/>
    <col width="33" customWidth="1" min="36" max="36"/>
    <col width="25" customWidth="1" min="37" max="37"/>
    <col width="30" customWidth="1" min="38" max="38"/>
    <col width="35" customWidth="1" min="39" max="39"/>
    <col width="46" customWidth="1" min="40" max="40"/>
    <col width="11" customWidth="1" min="41" max="41"/>
  </cols>
  <sheetData>
    <row r="1" ht="28" customHeight="1">
      <c r="A1" s="1" t="inlineStr">
        <is>
          <t>EXPERIMENTS FACT TABLE (fact_experiments) — RELATIONAL LOOKUPS + AUTOMATED PHYSICS GATES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</row>
    <row r="2" ht="20" customHeight="1">
      <c r="A2" s="3" t="inlineStr">
        <is>
          <t>Blue headers indicate live formula columns dynamically joined from Hardware &amp; Models or computed via Roofline/TCO equations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</row>
    <row r="3"/>
    <row r="4" ht="28" customHeight="1">
      <c r="A4" s="10" t="inlineStr">
        <is>
          <t>experiment_id</t>
        </is>
      </c>
      <c r="B4" s="10" t="inlineStr">
        <is>
          <t>date</t>
        </is>
      </c>
      <c r="C4" s="10" t="inlineStr">
        <is>
          <t>evidence_tier</t>
        </is>
      </c>
      <c r="D4" s="10" t="inlineStr">
        <is>
          <t>hardware_id</t>
        </is>
      </c>
      <c r="E4" s="11" t="inlineStr">
        <is>
          <t>platform</t>
        </is>
      </c>
      <c r="F4" s="11" t="inlineStr">
        <is>
          <t>chip_or_system</t>
        </is>
      </c>
      <c r="G4" s="11" t="inlineStr">
        <is>
          <t>nodes</t>
        </is>
      </c>
      <c r="H4" s="11" t="inlineStr">
        <is>
          <t>memory_gb_per_node</t>
        </is>
      </c>
      <c r="I4" s="11" t="inlineStr">
        <is>
          <t>total_memory_gb</t>
        </is>
      </c>
      <c r="J4" s="11" t="inlineStr">
        <is>
          <t>memory_bandwidth_gbps</t>
        </is>
      </c>
      <c r="K4" s="11" t="inlineStr">
        <is>
          <t>interconnect</t>
        </is>
      </c>
      <c r="L4" s="11" t="inlineStr">
        <is>
          <t>system_cost_usd</t>
        </is>
      </c>
      <c r="M4" s="10" t="inlineStr">
        <is>
          <t>power_watts</t>
        </is>
      </c>
      <c r="N4" s="10" t="inlineStr">
        <is>
          <t>engine_and_version</t>
        </is>
      </c>
      <c r="O4" s="10" t="inlineStr">
        <is>
          <t>model_name</t>
        </is>
      </c>
      <c r="P4" s="11" t="inlineStr">
        <is>
          <t>provider_or_org</t>
        </is>
      </c>
      <c r="Q4" s="11" t="inlineStr">
        <is>
          <t>architecture</t>
        </is>
      </c>
      <c r="R4" s="11" t="inlineStr">
        <is>
          <t>total_params_b</t>
        </is>
      </c>
      <c r="S4" s="11" t="inlineStr">
        <is>
          <t>active_params_b</t>
        </is>
      </c>
      <c r="T4" s="11" t="inlineStr">
        <is>
          <t>resident_params_b</t>
        </is>
      </c>
      <c r="U4" s="10" t="inlineStr">
        <is>
          <t>quantization</t>
        </is>
      </c>
      <c r="V4" s="10" t="inlineStr">
        <is>
          <t>quant_bits</t>
        </is>
      </c>
      <c r="W4" s="10" t="inlineStr">
        <is>
          <t>offload_mode</t>
        </is>
      </c>
      <c r="X4" s="10" t="inlineStr">
        <is>
          <t>concurrency</t>
        </is>
      </c>
      <c r="Y4" s="10" t="inlineStr">
        <is>
          <t>prefill_tps</t>
        </is>
      </c>
      <c r="Z4" s="10" t="inlineStr">
        <is>
          <t>decode_tps_single</t>
        </is>
      </c>
      <c r="AA4" s="10" t="inlineStr">
        <is>
          <t>decode_tps_agg</t>
        </is>
      </c>
      <c r="AB4" s="10" t="inlineStr">
        <is>
          <t>ttft_ms</t>
        </is>
      </c>
      <c r="AC4" s="10" t="inlineStr">
        <is>
          <t>peak_memory_gb</t>
        </is>
      </c>
      <c r="AD4" s="11" t="inlineStr">
        <is>
          <t>tokens_per_watt</t>
        </is>
      </c>
      <c r="AE4" s="11" t="inlineStr">
        <is>
          <t>min_weight_ram_gb</t>
        </is>
      </c>
      <c r="AF4" s="11" t="inlineStr">
        <is>
          <t>theoretical_roofline_tps</t>
        </is>
      </c>
      <c r="AG4" s="11" t="inlineStr">
        <is>
          <t>bandwidth_efficiency_pct</t>
        </is>
      </c>
      <c r="AH4" s="11" t="inlineStr">
        <is>
          <t>physics_gate_status</t>
        </is>
      </c>
      <c r="AI4" s="11" t="inlineStr">
        <is>
          <t>cost_solo_8pct_usd_per_m</t>
        </is>
      </c>
      <c r="AJ4" s="11" t="inlineStr">
        <is>
          <t>cost_exchange_65pct_usd_per_m</t>
        </is>
      </c>
      <c r="AK4" s="11" t="inlineStr">
        <is>
          <t>aa_intelligence_index</t>
        </is>
      </c>
      <c r="AL4" s="11" t="inlineStr">
        <is>
          <t>cloud_api_output_usd_per_m</t>
        </is>
      </c>
      <c r="AM4" s="11" t="inlineStr">
        <is>
          <t>exchange_vs_cloud_Arbitrage_pct</t>
        </is>
      </c>
      <c r="AN4" s="10" t="inlineStr">
        <is>
          <t>source_url_or_note</t>
        </is>
      </c>
    </row>
    <row r="5" ht="22" customHeight="1">
      <c r="A5" s="25" t="inlineStr">
        <is>
          <t>EXP-001</t>
        </is>
      </c>
      <c r="B5" s="19" t="inlineStr">
        <is>
          <t>2026-10-10</t>
        </is>
      </c>
      <c r="C5" s="19" t="inlineStr">
        <is>
          <t>TIER_2_EXTERNAL_VERIFIED</t>
        </is>
      </c>
      <c r="D5" s="19" t="inlineStr">
        <is>
          <t>HW-004</t>
        </is>
      </c>
      <c r="E5" s="26">
        <f>INDEX(Hardware!$B$5:$B$9, MATCH(D5, Hardware!$A$5:$A$9, 0))</f>
        <v/>
      </c>
      <c r="F5" s="26">
        <f>INDEX(Hardware!$C$5:$C$9, MATCH(D5, Hardware!$A$5:$A$9, 0))</f>
        <v/>
      </c>
      <c r="G5" s="26">
        <f>INDEX(Hardware!$E$5:$E$9, MATCH(D5, Hardware!$A$5:$A$9, 0))</f>
        <v/>
      </c>
      <c r="H5" s="26">
        <f>INDEX(Hardware!$F$5:$F$9, MATCH(D5, Hardware!$A$5:$A$9, 0))</f>
        <v/>
      </c>
      <c r="I5" s="26">
        <f>INDEX(Hardware!$G$5:$G$9, MATCH(D5, Hardware!$A$5:$A$9, 0))</f>
        <v/>
      </c>
      <c r="J5" s="26">
        <f>INDEX(Hardware!$J$5:$J$9, MATCH(D5, Hardware!$A$5:$A$9, 0))</f>
        <v/>
      </c>
      <c r="K5" s="26">
        <f>INDEX(Hardware!$L$5:$L$9, MATCH(D5, Hardware!$A$5:$A$9, 0))</f>
        <v/>
      </c>
      <c r="L5" s="32">
        <f>INDEX(Hardware!$M$5:$M$9, MATCH(D5, Hardware!$A$5:$A$9, 0))</f>
        <v/>
      </c>
      <c r="M5" s="19" t="n">
        <v>125</v>
      </c>
      <c r="N5" s="19" t="inlineStr">
        <is>
          <t>vLLM (26.01-py3)</t>
        </is>
      </c>
      <c r="O5" s="25" t="inlineStr">
        <is>
          <t>gpt-oss-120b</t>
        </is>
      </c>
      <c r="P5" s="26">
        <f>INDEX(Models!$C$5:$C$15, MATCH(O5, Models!$B$5:$B$15, 0))</f>
        <v/>
      </c>
      <c r="Q5" s="26">
        <f>INDEX(Models!$E$5:$E$15, MATCH(O5, Models!$B$5:$B$15, 0))</f>
        <v/>
      </c>
      <c r="R5" s="33">
        <f>INDEX(Models!$F$5:$F$15, MATCH(O5, Models!$B$5:$B$15, 0))</f>
        <v/>
      </c>
      <c r="S5" s="33">
        <f>INDEX(Models!$G$5:$G$15, MATCH(O5, Models!$B$5:$B$15, 0))</f>
        <v/>
      </c>
      <c r="T5" s="33">
        <f>INDEX(Models!$H$5:$H$15, MATCH(O5, Models!$B$5:$B$15, 0))</f>
        <v/>
      </c>
      <c r="U5" s="19" t="inlineStr">
        <is>
          <t>MXFP4</t>
        </is>
      </c>
      <c r="V5" s="20" t="n">
        <v>4.25</v>
      </c>
      <c r="W5" s="19" t="inlineStr">
        <is>
          <t>resident</t>
        </is>
      </c>
      <c r="X5" s="19" t="n">
        <v>1</v>
      </c>
      <c r="Y5" s="20" t="n">
        <v>2053</v>
      </c>
      <c r="Z5" s="20" t="n">
        <v>58.7</v>
      </c>
      <c r="AA5" s="20" t="n">
        <v>58.7</v>
      </c>
      <c r="AB5" s="19" t="n">
        <v>998</v>
      </c>
      <c r="AC5" s="20" t="n">
        <v>68.40000000000001</v>
      </c>
      <c r="AD5" s="33">
        <f>AA5/M5</f>
        <v/>
      </c>
      <c r="AE5" s="33">
        <f>T5*(V5/8)*1.05</f>
        <v/>
      </c>
      <c r="AF5" s="33">
        <f>J5/(S5*(V5/8))</f>
        <v/>
      </c>
      <c r="AG5" s="23">
        <f>Z5/AF5</f>
        <v/>
      </c>
      <c r="AH5" s="26">
        <f>IF(AC5&gt;I5,"FAIL:_EXCEEDS_NODE_RAM",IF(AND(W5="resident",AC5&lt;AE5),"FAIL:_WEIGHTS_EXCEED_PEAK_RAM",IF(AG5&gt;1.05,"FAIL:_EXCEEDS_ROOFLINE","PASS")))</f>
        <v/>
      </c>
      <c r="AI5" s="22">
        <f>((L5*(1-Exchange_Economics!$B$6))/(Exchange_Economics!$B$5*8760*Exchange_Economics!$B$8)+(M5/1000)*Exchange_Economics!$B$7)/(Z5*3600)*1000000</f>
        <v/>
      </c>
      <c r="AJ5" s="22">
        <f>((L5*(1-Exchange_Economics!$B$6))/(Exchange_Economics!$B$5*8760*Exchange_Economics!$B$9)+(M5/1000)*Exchange_Economics!$B$7)/(AA5*3600)*1000000</f>
        <v/>
      </c>
      <c r="AK5" s="33">
        <f>INDEX(Models!$I$5:$I$15, MATCH(O5, Models!$B$5:$B$15, 0))</f>
        <v/>
      </c>
      <c r="AL5" s="22">
        <f>INDEX(Models!$M$5:$M$15, MATCH(O5, Models!$B$5:$B$15, 0))</f>
        <v/>
      </c>
      <c r="AM5" s="23">
        <f>(AL5-AJ5)/AL5</f>
        <v/>
      </c>
      <c r="AN5" s="19" t="inlineStr">
        <is>
          <t>https://conselara.dev/notes/dgx-spark-benchmarks/ (Verified single DGX Spark: 2,053 tok/s prefill, 57.5-60.0 tok/s decode)</t>
        </is>
      </c>
    </row>
    <row r="6" ht="22" customHeight="1">
      <c r="A6" s="24" t="inlineStr">
        <is>
          <t>EXP-002</t>
        </is>
      </c>
      <c r="B6" s="13" t="inlineStr">
        <is>
          <t>2026-10-10</t>
        </is>
      </c>
      <c r="C6" s="13" t="inlineStr">
        <is>
          <t>TIER_2_EXTERNAL_VERIFIED</t>
        </is>
      </c>
      <c r="D6" s="13" t="inlineStr">
        <is>
          <t>HW-004</t>
        </is>
      </c>
      <c r="E6" s="28">
        <f>INDEX(Hardware!$B$5:$B$9, MATCH(D6, Hardware!$A$5:$A$9, 0))</f>
        <v/>
      </c>
      <c r="F6" s="28">
        <f>INDEX(Hardware!$C$5:$C$9, MATCH(D6, Hardware!$A$5:$A$9, 0))</f>
        <v/>
      </c>
      <c r="G6" s="28">
        <f>INDEX(Hardware!$E$5:$E$9, MATCH(D6, Hardware!$A$5:$A$9, 0))</f>
        <v/>
      </c>
      <c r="H6" s="28">
        <f>INDEX(Hardware!$F$5:$F$9, MATCH(D6, Hardware!$A$5:$A$9, 0))</f>
        <v/>
      </c>
      <c r="I6" s="28">
        <f>INDEX(Hardware!$G$5:$G$9, MATCH(D6, Hardware!$A$5:$A$9, 0))</f>
        <v/>
      </c>
      <c r="J6" s="28">
        <f>INDEX(Hardware!$J$5:$J$9, MATCH(D6, Hardware!$A$5:$A$9, 0))</f>
        <v/>
      </c>
      <c r="K6" s="28">
        <f>INDEX(Hardware!$L$5:$L$9, MATCH(D6, Hardware!$A$5:$A$9, 0))</f>
        <v/>
      </c>
      <c r="L6" s="34">
        <f>INDEX(Hardware!$M$5:$M$9, MATCH(D6, Hardware!$A$5:$A$9, 0))</f>
        <v/>
      </c>
      <c r="M6" s="13" t="n">
        <v>138</v>
      </c>
      <c r="N6" s="13" t="inlineStr">
        <is>
          <t>vLLM (26.01-py3)</t>
        </is>
      </c>
      <c r="O6" s="24" t="inlineStr">
        <is>
          <t>gpt-oss-120b</t>
        </is>
      </c>
      <c r="P6" s="28">
        <f>INDEX(Models!$C$5:$C$15, MATCH(O6, Models!$B$5:$B$15, 0))</f>
        <v/>
      </c>
      <c r="Q6" s="28">
        <f>INDEX(Models!$E$5:$E$15, MATCH(O6, Models!$B$5:$B$15, 0))</f>
        <v/>
      </c>
      <c r="R6" s="35">
        <f>INDEX(Models!$F$5:$F$15, MATCH(O6, Models!$B$5:$B$15, 0))</f>
        <v/>
      </c>
      <c r="S6" s="35">
        <f>INDEX(Models!$G$5:$G$15, MATCH(O6, Models!$B$5:$B$15, 0))</f>
        <v/>
      </c>
      <c r="T6" s="35">
        <f>INDEX(Models!$H$5:$H$15, MATCH(O6, Models!$B$5:$B$15, 0))</f>
        <v/>
      </c>
      <c r="U6" s="13" t="inlineStr">
        <is>
          <t>MXFP4</t>
        </is>
      </c>
      <c r="V6" s="14" t="n">
        <v>4.25</v>
      </c>
      <c r="W6" s="13" t="inlineStr">
        <is>
          <t>resident</t>
        </is>
      </c>
      <c r="X6" s="13" t="n">
        <v>8</v>
      </c>
      <c r="Y6" s="14" t="n">
        <v>2442</v>
      </c>
      <c r="Z6" s="14" t="n">
        <v>24.8</v>
      </c>
      <c r="AA6" s="14" t="n">
        <v>198.4</v>
      </c>
      <c r="AB6" s="13" t="n">
        <v>1420</v>
      </c>
      <c r="AC6" s="14" t="n">
        <v>84.2</v>
      </c>
      <c r="AD6" s="35">
        <f>AA6/M6</f>
        <v/>
      </c>
      <c r="AE6" s="35">
        <f>T6*(V6/8)*1.05</f>
        <v/>
      </c>
      <c r="AF6" s="35">
        <f>J6/(S6*(V6/8))</f>
        <v/>
      </c>
      <c r="AG6" s="17">
        <f>Z6/AF6</f>
        <v/>
      </c>
      <c r="AH6" s="28">
        <f>IF(AC6&gt;I6,"FAIL:_EXCEEDS_NODE_RAM",IF(AND(W6="resident",AC6&lt;AE6),"FAIL:_WEIGHTS_EXCEED_PEAK_RAM",IF(AG6&gt;1.05,"FAIL:_EXCEEDS_ROOFLINE","PASS")))</f>
        <v/>
      </c>
      <c r="AI6" s="16">
        <f>((L6*(1-Exchange_Economics!$B$6))/(Exchange_Economics!$B$5*8760*Exchange_Economics!$B$8)+(M6/1000)*Exchange_Economics!$B$7)/(Z6*3600)*1000000</f>
        <v/>
      </c>
      <c r="AJ6" s="16">
        <f>((L6*(1-Exchange_Economics!$B$6))/(Exchange_Economics!$B$5*8760*Exchange_Economics!$B$9)+(M6/1000)*Exchange_Economics!$B$7)/(AA6*3600)*1000000</f>
        <v/>
      </c>
      <c r="AK6" s="35">
        <f>INDEX(Models!$I$5:$I$15, MATCH(O6, Models!$B$5:$B$15, 0))</f>
        <v/>
      </c>
      <c r="AL6" s="16">
        <f>INDEX(Models!$M$5:$M$15, MATCH(O6, Models!$B$5:$B$15, 0))</f>
        <v/>
      </c>
      <c r="AM6" s="17">
        <f>(AL6-AJ6)/AL6</f>
        <v/>
      </c>
      <c r="AN6" s="13" t="inlineStr">
        <is>
          <t>https://conselara.dev/notes/dgx-spark-benchmarks/ (Batched c=8 run on single DGX Spark with CUDAGraph)</t>
        </is>
      </c>
    </row>
    <row r="7" ht="22" customHeight="1">
      <c r="A7" s="25" t="inlineStr">
        <is>
          <t>EXP-003</t>
        </is>
      </c>
      <c r="B7" s="19" t="inlineStr">
        <is>
          <t>2026-10-10</t>
        </is>
      </c>
      <c r="C7" s="19" t="inlineStr">
        <is>
          <t>TIER_2_EXTERNAL_VERIFIED</t>
        </is>
      </c>
      <c r="D7" s="19" t="inlineStr">
        <is>
          <t>HW-005</t>
        </is>
      </c>
      <c r="E7" s="26">
        <f>INDEX(Hardware!$B$5:$B$9, MATCH(D7, Hardware!$A$5:$A$9, 0))</f>
        <v/>
      </c>
      <c r="F7" s="26">
        <f>INDEX(Hardware!$C$5:$C$9, MATCH(D7, Hardware!$A$5:$A$9, 0))</f>
        <v/>
      </c>
      <c r="G7" s="26">
        <f>INDEX(Hardware!$E$5:$E$9, MATCH(D7, Hardware!$A$5:$A$9, 0))</f>
        <v/>
      </c>
      <c r="H7" s="26">
        <f>INDEX(Hardware!$F$5:$F$9, MATCH(D7, Hardware!$A$5:$A$9, 0))</f>
        <v/>
      </c>
      <c r="I7" s="26">
        <f>INDEX(Hardware!$G$5:$G$9, MATCH(D7, Hardware!$A$5:$A$9, 0))</f>
        <v/>
      </c>
      <c r="J7" s="26">
        <f>INDEX(Hardware!$J$5:$J$9, MATCH(D7, Hardware!$A$5:$A$9, 0))</f>
        <v/>
      </c>
      <c r="K7" s="26">
        <f>INDEX(Hardware!$L$5:$L$9, MATCH(D7, Hardware!$A$5:$A$9, 0))</f>
        <v/>
      </c>
      <c r="L7" s="32">
        <f>INDEX(Hardware!$M$5:$M$9, MATCH(D7, Hardware!$A$5:$A$9, 0))</f>
        <v/>
      </c>
      <c r="M7" s="19" t="n">
        <v>235</v>
      </c>
      <c r="N7" s="19" t="inlineStr">
        <is>
          <t>vLLM (Ray TP=2, EP=2) (0.14.0)</t>
        </is>
      </c>
      <c r="O7" s="25" t="inlineStr">
        <is>
          <t>Qwen3-235B-A22B-Instruct</t>
        </is>
      </c>
      <c r="P7" s="26">
        <f>INDEX(Models!$C$5:$C$15, MATCH(O7, Models!$B$5:$B$15, 0))</f>
        <v/>
      </c>
      <c r="Q7" s="26">
        <f>INDEX(Models!$E$5:$E$15, MATCH(O7, Models!$B$5:$B$15, 0))</f>
        <v/>
      </c>
      <c r="R7" s="33">
        <f>INDEX(Models!$F$5:$F$15, MATCH(O7, Models!$B$5:$B$15, 0))</f>
        <v/>
      </c>
      <c r="S7" s="33">
        <f>INDEX(Models!$G$5:$G$15, MATCH(O7, Models!$B$5:$B$15, 0))</f>
        <v/>
      </c>
      <c r="T7" s="33">
        <f>INDEX(Models!$H$5:$H$15, MATCH(O7, Models!$B$5:$B$15, 0))</f>
        <v/>
      </c>
      <c r="U7" s="19" t="inlineStr">
        <is>
          <t>GPTQ-Int4 (Marlin)</t>
        </is>
      </c>
      <c r="V7" s="20" t="n">
        <v>4</v>
      </c>
      <c r="W7" s="19" t="inlineStr">
        <is>
          <t>resident</t>
        </is>
      </c>
      <c r="X7" s="19" t="n">
        <v>1</v>
      </c>
      <c r="Y7" s="20" t="n">
        <v>920</v>
      </c>
      <c r="Z7" s="20" t="n">
        <v>17</v>
      </c>
      <c r="AA7" s="20" t="n">
        <v>17</v>
      </c>
      <c r="AB7" s="19" t="n">
        <v>2225</v>
      </c>
      <c r="AC7" s="20" t="n">
        <v>142</v>
      </c>
      <c r="AD7" s="33">
        <f>AA7/M7</f>
        <v/>
      </c>
      <c r="AE7" s="33">
        <f>T7*(V7/8)*1.05</f>
        <v/>
      </c>
      <c r="AF7" s="33">
        <f>J7/(S7*(V7/8))</f>
        <v/>
      </c>
      <c r="AG7" s="23">
        <f>Z7/AF7</f>
        <v/>
      </c>
      <c r="AH7" s="26">
        <f>IF(AC7&gt;I7,"FAIL:_EXCEEDS_NODE_RAM",IF(AND(W7="resident",AC7&lt;AE7),"FAIL:_WEIGHTS_EXCEED_PEAK_RAM",IF(AG7&gt;1.05,"FAIL:_EXCEEDS_ROOFLINE","PASS")))</f>
        <v/>
      </c>
      <c r="AI7" s="22">
        <f>((L7*(1-Exchange_Economics!$B$6))/(Exchange_Economics!$B$5*8760*Exchange_Economics!$B$8)+(M7/1000)*Exchange_Economics!$B$7)/(Z7*3600)*1000000</f>
        <v/>
      </c>
      <c r="AJ7" s="22">
        <f>((L7*(1-Exchange_Economics!$B$6))/(Exchange_Economics!$B$5*8760*Exchange_Economics!$B$9)+(M7/1000)*Exchange_Economics!$B$7)/(AA7*3600)*1000000</f>
        <v/>
      </c>
      <c r="AK7" s="33">
        <f>INDEX(Models!$I$5:$I$15, MATCH(O7, Models!$B$5:$B$15, 0))</f>
        <v/>
      </c>
      <c r="AL7" s="22">
        <f>INDEX(Models!$M$5:$M$15, MATCH(O7, Models!$B$5:$B$15, 0))</f>
        <v/>
      </c>
      <c r="AM7" s="23">
        <f>(AL7-AJ7)/AL7</f>
        <v/>
      </c>
      <c r="AN7" s="19" t="inlineStr">
        <is>
          <t>https://conselara.dev/notes/dgx-spark-benchmarks/ (Verified 2x DGX Spark 256GB: 17.0 tok/s single-stream via gptq_marlin)</t>
        </is>
      </c>
    </row>
    <row r="8" ht="22" customHeight="1">
      <c r="A8" s="24" t="inlineStr">
        <is>
          <t>EXP-004</t>
        </is>
      </c>
      <c r="B8" s="13" t="inlineStr">
        <is>
          <t>2026-10-10</t>
        </is>
      </c>
      <c r="C8" s="13" t="inlineStr">
        <is>
          <t>TIER_2_EXTERNAL_VERIFIED</t>
        </is>
      </c>
      <c r="D8" s="13" t="inlineStr">
        <is>
          <t>HW-005</t>
        </is>
      </c>
      <c r="E8" s="28">
        <f>INDEX(Hardware!$B$5:$B$9, MATCH(D8, Hardware!$A$5:$A$9, 0))</f>
        <v/>
      </c>
      <c r="F8" s="28">
        <f>INDEX(Hardware!$C$5:$C$9, MATCH(D8, Hardware!$A$5:$A$9, 0))</f>
        <v/>
      </c>
      <c r="G8" s="28">
        <f>INDEX(Hardware!$E$5:$E$9, MATCH(D8, Hardware!$A$5:$A$9, 0))</f>
        <v/>
      </c>
      <c r="H8" s="28">
        <f>INDEX(Hardware!$F$5:$F$9, MATCH(D8, Hardware!$A$5:$A$9, 0))</f>
        <v/>
      </c>
      <c r="I8" s="28">
        <f>INDEX(Hardware!$G$5:$G$9, MATCH(D8, Hardware!$A$5:$A$9, 0))</f>
        <v/>
      </c>
      <c r="J8" s="28">
        <f>INDEX(Hardware!$J$5:$J$9, MATCH(D8, Hardware!$A$5:$A$9, 0))</f>
        <v/>
      </c>
      <c r="K8" s="28">
        <f>INDEX(Hardware!$L$5:$L$9, MATCH(D8, Hardware!$A$5:$A$9, 0))</f>
        <v/>
      </c>
      <c r="L8" s="34">
        <f>INDEX(Hardware!$M$5:$M$9, MATCH(D8, Hardware!$A$5:$A$9, 0))</f>
        <v/>
      </c>
      <c r="M8" s="13" t="n">
        <v>250</v>
      </c>
      <c r="N8" s="13" t="inlineStr">
        <is>
          <t>vLLM (Ray TP=2, EP=2) (0.14.0)</t>
        </is>
      </c>
      <c r="O8" s="24" t="inlineStr">
        <is>
          <t>Qwen3-235B-A22B-Instruct</t>
        </is>
      </c>
      <c r="P8" s="28">
        <f>INDEX(Models!$C$5:$C$15, MATCH(O8, Models!$B$5:$B$15, 0))</f>
        <v/>
      </c>
      <c r="Q8" s="28">
        <f>INDEX(Models!$E$5:$E$15, MATCH(O8, Models!$B$5:$B$15, 0))</f>
        <v/>
      </c>
      <c r="R8" s="35">
        <f>INDEX(Models!$F$5:$F$15, MATCH(O8, Models!$B$5:$B$15, 0))</f>
        <v/>
      </c>
      <c r="S8" s="35">
        <f>INDEX(Models!$G$5:$G$15, MATCH(O8, Models!$B$5:$B$15, 0))</f>
        <v/>
      </c>
      <c r="T8" s="35">
        <f>INDEX(Models!$H$5:$H$15, MATCH(O8, Models!$B$5:$B$15, 0))</f>
        <v/>
      </c>
      <c r="U8" s="13" t="inlineStr">
        <is>
          <t>GPTQ-Int4 (Marlin)</t>
        </is>
      </c>
      <c r="V8" s="14" t="n">
        <v>4</v>
      </c>
      <c r="W8" s="13" t="inlineStr">
        <is>
          <t>resident</t>
        </is>
      </c>
      <c r="X8" s="13" t="n">
        <v>4</v>
      </c>
      <c r="Y8" s="14" t="n">
        <v>1150</v>
      </c>
      <c r="Z8" s="14" t="n">
        <v>9.1</v>
      </c>
      <c r="AA8" s="14" t="n">
        <v>36.4</v>
      </c>
      <c r="AB8" s="13" t="n">
        <v>2890</v>
      </c>
      <c r="AC8" s="14" t="n">
        <v>154</v>
      </c>
      <c r="AD8" s="35">
        <f>AA8/M8</f>
        <v/>
      </c>
      <c r="AE8" s="35">
        <f>T8*(V8/8)*1.05</f>
        <v/>
      </c>
      <c r="AF8" s="35">
        <f>J8/(S8*(V8/8))</f>
        <v/>
      </c>
      <c r="AG8" s="17">
        <f>Z8/AF8</f>
        <v/>
      </c>
      <c r="AH8" s="28">
        <f>IF(AC8&gt;I8,"FAIL:_EXCEEDS_NODE_RAM",IF(AND(W8="resident",AC8&lt;AE8),"FAIL:_WEIGHTS_EXCEED_PEAK_RAM",IF(AG8&gt;1.05,"FAIL:_EXCEEDS_ROOFLINE","PASS")))</f>
        <v/>
      </c>
      <c r="AI8" s="16">
        <f>((L8*(1-Exchange_Economics!$B$6))/(Exchange_Economics!$B$5*8760*Exchange_Economics!$B$8)+(M8/1000)*Exchange_Economics!$B$7)/(Z8*3600)*1000000</f>
        <v/>
      </c>
      <c r="AJ8" s="16">
        <f>((L8*(1-Exchange_Economics!$B$6))/(Exchange_Economics!$B$5*8760*Exchange_Economics!$B$9)+(M8/1000)*Exchange_Economics!$B$7)/(AA8*3600)*1000000</f>
        <v/>
      </c>
      <c r="AK8" s="35">
        <f>INDEX(Models!$I$5:$I$15, MATCH(O8, Models!$B$5:$B$15, 0))</f>
        <v/>
      </c>
      <c r="AL8" s="16">
        <f>INDEX(Models!$M$5:$M$15, MATCH(O8, Models!$B$5:$B$15, 0))</f>
        <v/>
      </c>
      <c r="AM8" s="17">
        <f>(AL8-AJ8)/AL8</f>
        <v/>
      </c>
      <c r="AN8" s="13" t="inlineStr">
        <is>
          <t>https://conselara.dev/notes/dgx-spark-benchmarks/ (Verified 2x DGX Spark 256GB: 36.4 tok/s aggregate at batch=4)</t>
        </is>
      </c>
    </row>
    <row r="9" ht="22" customHeight="1">
      <c r="A9" s="25" t="inlineStr">
        <is>
          <t>EXP-005</t>
        </is>
      </c>
      <c r="B9" s="19" t="inlineStr">
        <is>
          <t>2026-10-08</t>
        </is>
      </c>
      <c r="C9" s="19" t="inlineStr">
        <is>
          <t>TIER_2_EXTERNAL_VERIFIED</t>
        </is>
      </c>
      <c r="D9" s="19" t="inlineStr">
        <is>
          <t>HW-001</t>
        </is>
      </c>
      <c r="E9" s="26">
        <f>INDEX(Hardware!$B$5:$B$9, MATCH(D9, Hardware!$A$5:$A$9, 0))</f>
        <v/>
      </c>
      <c r="F9" s="26">
        <f>INDEX(Hardware!$C$5:$C$9, MATCH(D9, Hardware!$A$5:$A$9, 0))</f>
        <v/>
      </c>
      <c r="G9" s="26">
        <f>INDEX(Hardware!$E$5:$E$9, MATCH(D9, Hardware!$A$5:$A$9, 0))</f>
        <v/>
      </c>
      <c r="H9" s="26">
        <f>INDEX(Hardware!$F$5:$F$9, MATCH(D9, Hardware!$A$5:$A$9, 0))</f>
        <v/>
      </c>
      <c r="I9" s="26">
        <f>INDEX(Hardware!$G$5:$G$9, MATCH(D9, Hardware!$A$5:$A$9, 0))</f>
        <v/>
      </c>
      <c r="J9" s="26">
        <f>INDEX(Hardware!$J$5:$J$9, MATCH(D9, Hardware!$A$5:$A$9, 0))</f>
        <v/>
      </c>
      <c r="K9" s="26">
        <f>INDEX(Hardware!$L$5:$L$9, MATCH(D9, Hardware!$A$5:$A$9, 0))</f>
        <v/>
      </c>
      <c r="L9" s="32">
        <f>INDEX(Hardware!$M$5:$M$9, MATCH(D9, Hardware!$A$5:$A$9, 0))</f>
        <v/>
      </c>
      <c r="M9" s="19" t="n">
        <v>95</v>
      </c>
      <c r="N9" s="19" t="inlineStr">
        <is>
          <t>vllm-mlx (v0.4.0)</t>
        </is>
      </c>
      <c r="O9" s="25" t="inlineStr">
        <is>
          <t>Qwen3-8B</t>
        </is>
      </c>
      <c r="P9" s="26">
        <f>INDEX(Models!$C$5:$C$15, MATCH(O9, Models!$B$5:$B$15, 0))</f>
        <v/>
      </c>
      <c r="Q9" s="26">
        <f>INDEX(Models!$E$5:$E$15, MATCH(O9, Models!$B$5:$B$15, 0))</f>
        <v/>
      </c>
      <c r="R9" s="33">
        <f>INDEX(Models!$F$5:$F$15, MATCH(O9, Models!$B$5:$B$15, 0))</f>
        <v/>
      </c>
      <c r="S9" s="33">
        <f>INDEX(Models!$G$5:$G$15, MATCH(O9, Models!$B$5:$B$15, 0))</f>
        <v/>
      </c>
      <c r="T9" s="33">
        <f>INDEX(Models!$H$5:$H$15, MATCH(O9, Models!$B$5:$B$15, 0))</f>
        <v/>
      </c>
      <c r="U9" s="19" t="inlineStr">
        <is>
          <t>MLX-4bit</t>
        </is>
      </c>
      <c r="V9" s="20" t="n">
        <v>4.5</v>
      </c>
      <c r="W9" s="19" t="inlineStr">
        <is>
          <t>resident</t>
        </is>
      </c>
      <c r="X9" s="19" t="n">
        <v>8</v>
      </c>
      <c r="Y9" s="20" t="n">
        <v>1450</v>
      </c>
      <c r="Z9" s="20" t="n">
        <v>35.6</v>
      </c>
      <c r="AA9" s="20" t="n">
        <v>284.8</v>
      </c>
      <c r="AB9" s="19" t="n">
        <v>710</v>
      </c>
      <c r="AC9" s="20" t="n">
        <v>14.2</v>
      </c>
      <c r="AD9" s="33">
        <f>AA9/M9</f>
        <v/>
      </c>
      <c r="AE9" s="33">
        <f>T9*(V9/8)*1.05</f>
        <v/>
      </c>
      <c r="AF9" s="33">
        <f>J9/(S9*(V9/8))</f>
        <v/>
      </c>
      <c r="AG9" s="23">
        <f>Z9/AF9</f>
        <v/>
      </c>
      <c r="AH9" s="26">
        <f>IF(AC9&gt;I9,"FAIL:_EXCEEDS_NODE_RAM",IF(AND(W9="resident",AC9&lt;AE9),"FAIL:_WEIGHTS_EXCEED_PEAK_RAM",IF(AG9&gt;1.05,"FAIL:_EXCEEDS_ROOFLINE","PASS")))</f>
        <v/>
      </c>
      <c r="AI9" s="22">
        <f>((L9*(1-Exchange_Economics!$B$6))/(Exchange_Economics!$B$5*8760*Exchange_Economics!$B$8)+(M9/1000)*Exchange_Economics!$B$7)/(Z9*3600)*1000000</f>
        <v/>
      </c>
      <c r="AJ9" s="22">
        <f>((L9*(1-Exchange_Economics!$B$6))/(Exchange_Economics!$B$5*8760*Exchange_Economics!$B$9)+(M9/1000)*Exchange_Economics!$B$7)/(AA9*3600)*1000000</f>
        <v/>
      </c>
      <c r="AK9" s="33">
        <f>INDEX(Models!$I$5:$I$15, MATCH(O9, Models!$B$5:$B$15, 0))</f>
        <v/>
      </c>
      <c r="AL9" s="22">
        <f>INDEX(Models!$M$5:$M$15, MATCH(O9, Models!$B$5:$B$15, 0))</f>
        <v/>
      </c>
      <c r="AM9" s="23">
        <f>(AL9-AJ9)/AL9</f>
        <v/>
      </c>
      <c r="AN9" s="19" t="inlineStr">
        <is>
          <t>https://github.com/waybarrios/vllm-mlx/discussions/637 (Actual workload from #637: Qwen3-8B-4bit on M5 Max 128GB at c=8)</t>
        </is>
      </c>
    </row>
    <row r="10" ht="22" customHeight="1">
      <c r="A10" s="24" t="inlineStr">
        <is>
          <t>EXP-006</t>
        </is>
      </c>
      <c r="B10" s="13" t="inlineStr">
        <is>
          <t>2026-10-11</t>
        </is>
      </c>
      <c r="C10" s="13" t="inlineStr">
        <is>
          <t>TIER_3_ROOFLINE_MODEL</t>
        </is>
      </c>
      <c r="D10" s="13" t="inlineStr">
        <is>
          <t>HW-001</t>
        </is>
      </c>
      <c r="E10" s="28">
        <f>INDEX(Hardware!$B$5:$B$9, MATCH(D10, Hardware!$A$5:$A$9, 0))</f>
        <v/>
      </c>
      <c r="F10" s="28">
        <f>INDEX(Hardware!$C$5:$C$9, MATCH(D10, Hardware!$A$5:$A$9, 0))</f>
        <v/>
      </c>
      <c r="G10" s="28">
        <f>INDEX(Hardware!$E$5:$E$9, MATCH(D10, Hardware!$A$5:$A$9, 0))</f>
        <v/>
      </c>
      <c r="H10" s="28">
        <f>INDEX(Hardware!$F$5:$F$9, MATCH(D10, Hardware!$A$5:$A$9, 0))</f>
        <v/>
      </c>
      <c r="I10" s="28">
        <f>INDEX(Hardware!$G$5:$G$9, MATCH(D10, Hardware!$A$5:$A$9, 0))</f>
        <v/>
      </c>
      <c r="J10" s="28">
        <f>INDEX(Hardware!$J$5:$J$9, MATCH(D10, Hardware!$A$5:$A$9, 0))</f>
        <v/>
      </c>
      <c r="K10" s="28">
        <f>INDEX(Hardware!$L$5:$L$9, MATCH(D10, Hardware!$A$5:$A$9, 0))</f>
        <v/>
      </c>
      <c r="L10" s="34">
        <f>INDEX(Hardware!$M$5:$M$9, MATCH(D10, Hardware!$A$5:$A$9, 0))</f>
        <v/>
      </c>
      <c r="M10" s="13" t="n">
        <v>110</v>
      </c>
      <c r="N10" s="13" t="inlineStr">
        <is>
          <t>vllm-mlx (v0.4.2)</t>
        </is>
      </c>
      <c r="O10" s="24" t="inlineStr">
        <is>
          <t>Qwen3.8-27B (xhigh)</t>
        </is>
      </c>
      <c r="P10" s="28">
        <f>INDEX(Models!$C$5:$C$15, MATCH(O10, Models!$B$5:$B$15, 0))</f>
        <v/>
      </c>
      <c r="Q10" s="28">
        <f>INDEX(Models!$E$5:$E$15, MATCH(O10, Models!$B$5:$B$15, 0))</f>
        <v/>
      </c>
      <c r="R10" s="35">
        <f>INDEX(Models!$F$5:$F$15, MATCH(O10, Models!$B$5:$B$15, 0))</f>
        <v/>
      </c>
      <c r="S10" s="35">
        <f>INDEX(Models!$G$5:$G$15, MATCH(O10, Models!$B$5:$B$15, 0))</f>
        <v/>
      </c>
      <c r="T10" s="35">
        <f>INDEX(Models!$H$5:$H$15, MATCH(O10, Models!$B$5:$B$15, 0))</f>
        <v/>
      </c>
      <c r="U10" s="13" t="inlineStr">
        <is>
          <t>MLX-4bit</t>
        </is>
      </c>
      <c r="V10" s="14" t="n">
        <v>4.5</v>
      </c>
      <c r="W10" s="13" t="inlineStr">
        <is>
          <t>resident</t>
        </is>
      </c>
      <c r="X10" s="13" t="n">
        <v>4</v>
      </c>
      <c r="Y10" s="14" t="n">
        <v>740</v>
      </c>
      <c r="Z10" s="14" t="n">
        <v>33.5</v>
      </c>
      <c r="AA10" s="14" t="n">
        <v>78</v>
      </c>
      <c r="AB10" s="13" t="n">
        <v>5535</v>
      </c>
      <c r="AC10" s="14" t="n">
        <v>19.8</v>
      </c>
      <c r="AD10" s="35">
        <f>AA10/M10</f>
        <v/>
      </c>
      <c r="AE10" s="35">
        <f>T10*(V10/8)*1.05</f>
        <v/>
      </c>
      <c r="AF10" s="35">
        <f>J10/(S10*(V10/8))</f>
        <v/>
      </c>
      <c r="AG10" s="17">
        <f>Z10/AF10</f>
        <v/>
      </c>
      <c r="AH10" s="28">
        <f>IF(AC10&gt;I10,"FAIL:_EXCEEDS_NODE_RAM",IF(AND(W10="resident",AC10&lt;AE10),"FAIL:_WEIGHTS_EXCEED_PEAK_RAM",IF(AG10&gt;1.05,"FAIL:_EXCEEDS_ROOFLINE","PASS")))</f>
        <v/>
      </c>
      <c r="AI10" s="16">
        <f>((L10*(1-Exchange_Economics!$B$6))/(Exchange_Economics!$B$5*8760*Exchange_Economics!$B$8)+(M10/1000)*Exchange_Economics!$B$7)/(Z10*3600)*1000000</f>
        <v/>
      </c>
      <c r="AJ10" s="16">
        <f>((L10*(1-Exchange_Economics!$B$6))/(Exchange_Economics!$B$5*8760*Exchange_Economics!$B$9)+(M10/1000)*Exchange_Economics!$B$7)/(AA10*3600)*1000000</f>
        <v/>
      </c>
      <c r="AK10" s="35">
        <f>INDEX(Models!$I$5:$I$15, MATCH(O10, Models!$B$5:$B$15, 0))</f>
        <v/>
      </c>
      <c r="AL10" s="16">
        <f>INDEX(Models!$M$5:$M$15, MATCH(O10, Models!$B$5:$B$15, 0))</f>
        <v/>
      </c>
      <c r="AM10" s="17">
        <f>(AL10-AJ10)/AL10</f>
        <v/>
      </c>
      <c r="AN10" s="13" t="inlineStr">
        <is>
          <t>Roofline-verified M5 Max 128GB model: 15.2GB weights + 4.6GB KV; 33.5 tok/s single (82.9% of 40.4 tok/s roofline)</t>
        </is>
      </c>
    </row>
    <row r="11" ht="22" customHeight="1">
      <c r="A11" s="25" t="inlineStr">
        <is>
          <t>EXP-007</t>
        </is>
      </c>
      <c r="B11" s="19" t="inlineStr">
        <is>
          <t>2026-10-11</t>
        </is>
      </c>
      <c r="C11" s="19" t="inlineStr">
        <is>
          <t>TIER_3_ROOFLINE_MODEL</t>
        </is>
      </c>
      <c r="D11" s="19" t="inlineStr">
        <is>
          <t>HW-002</t>
        </is>
      </c>
      <c r="E11" s="26">
        <f>INDEX(Hardware!$B$5:$B$9, MATCH(D11, Hardware!$A$5:$A$9, 0))</f>
        <v/>
      </c>
      <c r="F11" s="26">
        <f>INDEX(Hardware!$C$5:$C$9, MATCH(D11, Hardware!$A$5:$A$9, 0))</f>
        <v/>
      </c>
      <c r="G11" s="26">
        <f>INDEX(Hardware!$E$5:$E$9, MATCH(D11, Hardware!$A$5:$A$9, 0))</f>
        <v/>
      </c>
      <c r="H11" s="26">
        <f>INDEX(Hardware!$F$5:$F$9, MATCH(D11, Hardware!$A$5:$A$9, 0))</f>
        <v/>
      </c>
      <c r="I11" s="26">
        <f>INDEX(Hardware!$G$5:$G$9, MATCH(D11, Hardware!$A$5:$A$9, 0))</f>
        <v/>
      </c>
      <c r="J11" s="26">
        <f>INDEX(Hardware!$J$5:$J$9, MATCH(D11, Hardware!$A$5:$A$9, 0))</f>
        <v/>
      </c>
      <c r="K11" s="26">
        <f>INDEX(Hardware!$L$5:$L$9, MATCH(D11, Hardware!$A$5:$A$9, 0))</f>
        <v/>
      </c>
      <c r="L11" s="32">
        <f>INDEX(Hardware!$M$5:$M$9, MATCH(D11, Hardware!$A$5:$A$9, 0))</f>
        <v/>
      </c>
      <c r="M11" s="19" t="n">
        <v>155</v>
      </c>
      <c r="N11" s="19" t="inlineStr">
        <is>
          <t>vllm-mlx (v0.4.2)</t>
        </is>
      </c>
      <c r="O11" s="25" t="inlineStr">
        <is>
          <t>Qwen3.8-27B (xhigh)</t>
        </is>
      </c>
      <c r="P11" s="26">
        <f>INDEX(Models!$C$5:$C$15, MATCH(O11, Models!$B$5:$B$15, 0))</f>
        <v/>
      </c>
      <c r="Q11" s="26">
        <f>INDEX(Models!$E$5:$E$15, MATCH(O11, Models!$B$5:$B$15, 0))</f>
        <v/>
      </c>
      <c r="R11" s="33">
        <f>INDEX(Models!$F$5:$F$15, MATCH(O11, Models!$B$5:$B$15, 0))</f>
        <v/>
      </c>
      <c r="S11" s="33">
        <f>INDEX(Models!$G$5:$G$15, MATCH(O11, Models!$B$5:$B$15, 0))</f>
        <v/>
      </c>
      <c r="T11" s="33">
        <f>INDEX(Models!$H$5:$H$15, MATCH(O11, Models!$B$5:$B$15, 0))</f>
        <v/>
      </c>
      <c r="U11" s="19" t="inlineStr">
        <is>
          <t>MLX-8bit</t>
        </is>
      </c>
      <c r="V11" s="20" t="n">
        <v>8</v>
      </c>
      <c r="W11" s="19" t="inlineStr">
        <is>
          <t>resident</t>
        </is>
      </c>
      <c r="X11" s="19" t="n">
        <v>4</v>
      </c>
      <c r="Y11" s="20" t="n">
        <v>1180</v>
      </c>
      <c r="Z11" s="20" t="n">
        <v>36.2</v>
      </c>
      <c r="AA11" s="20" t="n">
        <v>96</v>
      </c>
      <c r="AB11" s="19" t="n">
        <v>3470</v>
      </c>
      <c r="AC11" s="20" t="n">
        <v>36.5</v>
      </c>
      <c r="AD11" s="33">
        <f>AA11/M11</f>
        <v/>
      </c>
      <c r="AE11" s="33">
        <f>T11*(V11/8)*1.05</f>
        <v/>
      </c>
      <c r="AF11" s="33">
        <f>J11/(S11*(V11/8))</f>
        <v/>
      </c>
      <c r="AG11" s="23">
        <f>Z11/AF11</f>
        <v/>
      </c>
      <c r="AH11" s="26">
        <f>IF(AC11&gt;I11,"FAIL:_EXCEEDS_NODE_RAM",IF(AND(W11="resident",AC11&lt;AE11),"FAIL:_WEIGHTS_EXCEED_PEAK_RAM",IF(AG11&gt;1.05,"FAIL:_EXCEEDS_ROOFLINE","PASS")))</f>
        <v/>
      </c>
      <c r="AI11" s="22">
        <f>((L11*(1-Exchange_Economics!$B$6))/(Exchange_Economics!$B$5*8760*Exchange_Economics!$B$8)+(M11/1000)*Exchange_Economics!$B$7)/(Z11*3600)*1000000</f>
        <v/>
      </c>
      <c r="AJ11" s="22">
        <f>((L11*(1-Exchange_Economics!$B$6))/(Exchange_Economics!$B$5*8760*Exchange_Economics!$B$9)+(M11/1000)*Exchange_Economics!$B$7)/(AA11*3600)*1000000</f>
        <v/>
      </c>
      <c r="AK11" s="33">
        <f>INDEX(Models!$I$5:$I$15, MATCH(O11, Models!$B$5:$B$15, 0))</f>
        <v/>
      </c>
      <c r="AL11" s="22">
        <f>INDEX(Models!$M$5:$M$15, MATCH(O11, Models!$B$5:$B$15, 0))</f>
        <v/>
      </c>
      <c r="AM11" s="23">
        <f>(AL11-AJ11)/AL11</f>
        <v/>
      </c>
      <c r="AN11" s="19" t="inlineStr">
        <is>
          <t>Roofline-verified M5 Ultra 256GB 8-bit run: 27GB weights + 9.5GB KV; 36.2 tok/s single (81.5% of 44.4 tok/s roofline)</t>
        </is>
      </c>
    </row>
    <row r="12" ht="22" customHeight="1">
      <c r="A12" s="24" t="inlineStr">
        <is>
          <t>EXP-008</t>
        </is>
      </c>
      <c r="B12" s="13" t="inlineStr">
        <is>
          <t>2026-10-11</t>
        </is>
      </c>
      <c r="C12" s="13" t="inlineStr">
        <is>
          <t>TIER_3_ROOFLINE_MODEL</t>
        </is>
      </c>
      <c r="D12" s="13" t="inlineStr">
        <is>
          <t>HW-004</t>
        </is>
      </c>
      <c r="E12" s="28">
        <f>INDEX(Hardware!$B$5:$B$9, MATCH(D12, Hardware!$A$5:$A$9, 0))</f>
        <v/>
      </c>
      <c r="F12" s="28">
        <f>INDEX(Hardware!$C$5:$C$9, MATCH(D12, Hardware!$A$5:$A$9, 0))</f>
        <v/>
      </c>
      <c r="G12" s="28">
        <f>INDEX(Hardware!$E$5:$E$9, MATCH(D12, Hardware!$A$5:$A$9, 0))</f>
        <v/>
      </c>
      <c r="H12" s="28">
        <f>INDEX(Hardware!$F$5:$F$9, MATCH(D12, Hardware!$A$5:$A$9, 0))</f>
        <v/>
      </c>
      <c r="I12" s="28">
        <f>INDEX(Hardware!$G$5:$G$9, MATCH(D12, Hardware!$A$5:$A$9, 0))</f>
        <v/>
      </c>
      <c r="J12" s="28">
        <f>INDEX(Hardware!$J$5:$J$9, MATCH(D12, Hardware!$A$5:$A$9, 0))</f>
        <v/>
      </c>
      <c r="K12" s="28">
        <f>INDEX(Hardware!$L$5:$L$9, MATCH(D12, Hardware!$A$5:$A$9, 0))</f>
        <v/>
      </c>
      <c r="L12" s="34">
        <f>INDEX(Hardware!$M$5:$M$9, MATCH(D12, Hardware!$A$5:$A$9, 0))</f>
        <v/>
      </c>
      <c r="M12" s="13" t="n">
        <v>125</v>
      </c>
      <c r="N12" s="13" t="inlineStr">
        <is>
          <t>vLLM (26.01-py3)</t>
        </is>
      </c>
      <c r="O12" s="24" t="inlineStr">
        <is>
          <t>Qwen3.8-27B (xhigh)</t>
        </is>
      </c>
      <c r="P12" s="28">
        <f>INDEX(Models!$C$5:$C$15, MATCH(O12, Models!$B$5:$B$15, 0))</f>
        <v/>
      </c>
      <c r="Q12" s="28">
        <f>INDEX(Models!$E$5:$E$15, MATCH(O12, Models!$B$5:$B$15, 0))</f>
        <v/>
      </c>
      <c r="R12" s="35">
        <f>INDEX(Models!$F$5:$F$15, MATCH(O12, Models!$B$5:$B$15, 0))</f>
        <v/>
      </c>
      <c r="S12" s="35">
        <f>INDEX(Models!$G$5:$G$15, MATCH(O12, Models!$B$5:$B$15, 0))</f>
        <v/>
      </c>
      <c r="T12" s="35">
        <f>INDEX(Models!$H$5:$H$15, MATCH(O12, Models!$B$5:$B$15, 0))</f>
        <v/>
      </c>
      <c r="U12" s="13" t="inlineStr">
        <is>
          <t>NVFP4</t>
        </is>
      </c>
      <c r="V12" s="14" t="n">
        <v>4.25</v>
      </c>
      <c r="W12" s="13" t="inlineStr">
        <is>
          <t>resident</t>
        </is>
      </c>
      <c r="X12" s="13" t="n">
        <v>8</v>
      </c>
      <c r="Y12" s="14" t="n">
        <v>2150</v>
      </c>
      <c r="Z12" s="14" t="n">
        <v>15.8</v>
      </c>
      <c r="AA12" s="14" t="n">
        <v>64</v>
      </c>
      <c r="AB12" s="13" t="n">
        <v>1905</v>
      </c>
      <c r="AC12" s="14" t="n">
        <v>22.4</v>
      </c>
      <c r="AD12" s="35">
        <f>AA12/M12</f>
        <v/>
      </c>
      <c r="AE12" s="35">
        <f>T12*(V12/8)*1.05</f>
        <v/>
      </c>
      <c r="AF12" s="35">
        <f>J12/(S12*(V12/8))</f>
        <v/>
      </c>
      <c r="AG12" s="17">
        <f>Z12/AF12</f>
        <v/>
      </c>
      <c r="AH12" s="28">
        <f>IF(AC12&gt;I12,"FAIL:_EXCEEDS_NODE_RAM",IF(AND(W12="resident",AC12&lt;AE12),"FAIL:_WEIGHTS_EXCEED_PEAK_RAM",IF(AG12&gt;1.05,"FAIL:_EXCEEDS_ROOFLINE","PASS")))</f>
        <v/>
      </c>
      <c r="AI12" s="16">
        <f>((L12*(1-Exchange_Economics!$B$6))/(Exchange_Economics!$B$5*8760*Exchange_Economics!$B$8)+(M12/1000)*Exchange_Economics!$B$7)/(Z12*3600)*1000000</f>
        <v/>
      </c>
      <c r="AJ12" s="16">
        <f>((L12*(1-Exchange_Economics!$B$6))/(Exchange_Economics!$B$5*8760*Exchange_Economics!$B$9)+(M12/1000)*Exchange_Economics!$B$7)/(AA12*3600)*1000000</f>
        <v/>
      </c>
      <c r="AK12" s="35">
        <f>INDEX(Models!$I$5:$I$15, MATCH(O12, Models!$B$5:$B$15, 0))</f>
        <v/>
      </c>
      <c r="AL12" s="16">
        <f>INDEX(Models!$M$5:$M$15, MATCH(O12, Models!$B$5:$B$15, 0))</f>
        <v/>
      </c>
      <c r="AM12" s="17">
        <f>(AL12-AJ12)/AL12</f>
        <v/>
      </c>
      <c r="AN12" s="13" t="inlineStr">
        <is>
          <t>Roofline-verified DGX Spark 128GB: 273 GB/s / 14.3GB weights = 19.0 tok/s roofline -&gt; 15.8 tok/s single, 64.0 tok/s at c=8</t>
        </is>
      </c>
    </row>
    <row r="13" ht="22" customHeight="1">
      <c r="A13" s="25" t="inlineStr">
        <is>
          <t>EXP-009</t>
        </is>
      </c>
      <c r="B13" s="19" t="inlineStr">
        <is>
          <t>2026-10-11</t>
        </is>
      </c>
      <c r="C13" s="19" t="inlineStr">
        <is>
          <t>TIER_3_ROOFLINE_MODEL</t>
        </is>
      </c>
      <c r="D13" s="19" t="inlineStr">
        <is>
          <t>HW-001</t>
        </is>
      </c>
      <c r="E13" s="26">
        <f>INDEX(Hardware!$B$5:$B$9, MATCH(D13, Hardware!$A$5:$A$9, 0))</f>
        <v/>
      </c>
      <c r="F13" s="26">
        <f>INDEX(Hardware!$C$5:$C$9, MATCH(D13, Hardware!$A$5:$A$9, 0))</f>
        <v/>
      </c>
      <c r="G13" s="26">
        <f>INDEX(Hardware!$E$5:$E$9, MATCH(D13, Hardware!$A$5:$A$9, 0))</f>
        <v/>
      </c>
      <c r="H13" s="26">
        <f>INDEX(Hardware!$F$5:$F$9, MATCH(D13, Hardware!$A$5:$A$9, 0))</f>
        <v/>
      </c>
      <c r="I13" s="26">
        <f>INDEX(Hardware!$G$5:$G$9, MATCH(D13, Hardware!$A$5:$A$9, 0))</f>
        <v/>
      </c>
      <c r="J13" s="26">
        <f>INDEX(Hardware!$J$5:$J$9, MATCH(D13, Hardware!$A$5:$A$9, 0))</f>
        <v/>
      </c>
      <c r="K13" s="26">
        <f>INDEX(Hardware!$L$5:$L$9, MATCH(D13, Hardware!$A$5:$A$9, 0))</f>
        <v/>
      </c>
      <c r="L13" s="32">
        <f>INDEX(Hardware!$M$5:$M$9, MATCH(D13, Hardware!$A$5:$A$9, 0))</f>
        <v/>
      </c>
      <c r="M13" s="19" t="n">
        <v>105</v>
      </c>
      <c r="N13" s="19" t="inlineStr">
        <is>
          <t>vllm-mlx (v0.4.2)</t>
        </is>
      </c>
      <c r="O13" s="25" t="inlineStr">
        <is>
          <t>GLM-4.7-Flash-30B-A3B</t>
        </is>
      </c>
      <c r="P13" s="26">
        <f>INDEX(Models!$C$5:$C$15, MATCH(O13, Models!$B$5:$B$15, 0))</f>
        <v/>
      </c>
      <c r="Q13" s="26">
        <f>INDEX(Models!$E$5:$E$15, MATCH(O13, Models!$B$5:$B$15, 0))</f>
        <v/>
      </c>
      <c r="R13" s="33">
        <f>INDEX(Models!$F$5:$F$15, MATCH(O13, Models!$B$5:$B$15, 0))</f>
        <v/>
      </c>
      <c r="S13" s="33">
        <f>INDEX(Models!$G$5:$G$15, MATCH(O13, Models!$B$5:$B$15, 0))</f>
        <v/>
      </c>
      <c r="T13" s="33">
        <f>INDEX(Models!$H$5:$H$15, MATCH(O13, Models!$B$5:$B$15, 0))</f>
        <v/>
      </c>
      <c r="U13" s="19" t="inlineStr">
        <is>
          <t>MLX-6bit</t>
        </is>
      </c>
      <c r="V13" s="20" t="n">
        <v>6</v>
      </c>
      <c r="W13" s="19" t="inlineStr">
        <is>
          <t>resident</t>
        </is>
      </c>
      <c r="X13" s="19" t="n">
        <v>4</v>
      </c>
      <c r="Y13" s="20" t="n">
        <v>1650</v>
      </c>
      <c r="Z13" s="20" t="n">
        <v>135.2</v>
      </c>
      <c r="AA13" s="20" t="n">
        <v>310</v>
      </c>
      <c r="AB13" s="19" t="n">
        <v>2480</v>
      </c>
      <c r="AC13" s="20" t="n">
        <v>28.5</v>
      </c>
      <c r="AD13" s="33">
        <f>AA13/M13</f>
        <v/>
      </c>
      <c r="AE13" s="33">
        <f>T13*(V13/8)*1.05</f>
        <v/>
      </c>
      <c r="AF13" s="33">
        <f>J13/(S13*(V13/8))</f>
        <v/>
      </c>
      <c r="AG13" s="23">
        <f>Z13/AF13</f>
        <v/>
      </c>
      <c r="AH13" s="26">
        <f>IF(AC13&gt;I13,"FAIL:_EXCEEDS_NODE_RAM",IF(AND(W13="resident",AC13&lt;AE13),"FAIL:_WEIGHTS_EXCEED_PEAK_RAM",IF(AG13&gt;1.05,"FAIL:_EXCEEDS_ROOFLINE","PASS")))</f>
        <v/>
      </c>
      <c r="AI13" s="22">
        <f>((L13*(1-Exchange_Economics!$B$6))/(Exchange_Economics!$B$5*8760*Exchange_Economics!$B$8)+(M13/1000)*Exchange_Economics!$B$7)/(Z13*3600)*1000000</f>
        <v/>
      </c>
      <c r="AJ13" s="22">
        <f>((L13*(1-Exchange_Economics!$B$6))/(Exchange_Economics!$B$5*8760*Exchange_Economics!$B$9)+(M13/1000)*Exchange_Economics!$B$7)/(AA13*3600)*1000000</f>
        <v/>
      </c>
      <c r="AK13" s="33">
        <f>INDEX(Models!$I$5:$I$15, MATCH(O13, Models!$B$5:$B$15, 0))</f>
        <v/>
      </c>
      <c r="AL13" s="22">
        <f>INDEX(Models!$M$5:$M$15, MATCH(O13, Models!$B$5:$B$15, 0))</f>
        <v/>
      </c>
      <c r="AM13" s="23">
        <f>(AL13-AJ13)/AL13</f>
        <v/>
      </c>
      <c r="AN13" s="19" t="inlineStr">
        <is>
          <t>Reconciled from old EXP-006: 30B total / 3B active in 6-bit = 22.5GB weights + 6GB KV = 28.5GB on M5 Max 128GB</t>
        </is>
      </c>
    </row>
    <row r="14" ht="22" customHeight="1">
      <c r="A14" s="24" t="inlineStr">
        <is>
          <t>EXP-010</t>
        </is>
      </c>
      <c r="B14" s="13" t="inlineStr">
        <is>
          <t>2026-10-11</t>
        </is>
      </c>
      <c r="C14" s="13" t="inlineStr">
        <is>
          <t>TIER_3_ROOFLINE_MODEL</t>
        </is>
      </c>
      <c r="D14" s="13" t="inlineStr">
        <is>
          <t>HW-002</t>
        </is>
      </c>
      <c r="E14" s="28">
        <f>INDEX(Hardware!$B$5:$B$9, MATCH(D14, Hardware!$A$5:$A$9, 0))</f>
        <v/>
      </c>
      <c r="F14" s="28">
        <f>INDEX(Hardware!$C$5:$C$9, MATCH(D14, Hardware!$A$5:$A$9, 0))</f>
        <v/>
      </c>
      <c r="G14" s="28">
        <f>INDEX(Hardware!$E$5:$E$9, MATCH(D14, Hardware!$A$5:$A$9, 0))</f>
        <v/>
      </c>
      <c r="H14" s="28">
        <f>INDEX(Hardware!$F$5:$F$9, MATCH(D14, Hardware!$A$5:$A$9, 0))</f>
        <v/>
      </c>
      <c r="I14" s="28">
        <f>INDEX(Hardware!$G$5:$G$9, MATCH(D14, Hardware!$A$5:$A$9, 0))</f>
        <v/>
      </c>
      <c r="J14" s="28">
        <f>INDEX(Hardware!$J$5:$J$9, MATCH(D14, Hardware!$A$5:$A$9, 0))</f>
        <v/>
      </c>
      <c r="K14" s="28">
        <f>INDEX(Hardware!$L$5:$L$9, MATCH(D14, Hardware!$A$5:$A$9, 0))</f>
        <v/>
      </c>
      <c r="L14" s="34">
        <f>INDEX(Hardware!$M$5:$M$9, MATCH(D14, Hardware!$A$5:$A$9, 0))</f>
        <v/>
      </c>
      <c r="M14" s="13" t="n">
        <v>190</v>
      </c>
      <c r="N14" s="13" t="inlineStr">
        <is>
          <t>oMLX (v0.22.0)</t>
        </is>
      </c>
      <c r="O14" s="24" t="inlineStr">
        <is>
          <t>GLM-5.3-Flash</t>
        </is>
      </c>
      <c r="P14" s="28">
        <f>INDEX(Models!$C$5:$C$15, MATCH(O14, Models!$B$5:$B$15, 0))</f>
        <v/>
      </c>
      <c r="Q14" s="28">
        <f>INDEX(Models!$E$5:$E$15, MATCH(O14, Models!$B$5:$B$15, 0))</f>
        <v/>
      </c>
      <c r="R14" s="35">
        <f>INDEX(Models!$F$5:$F$15, MATCH(O14, Models!$B$5:$B$15, 0))</f>
        <v/>
      </c>
      <c r="S14" s="35">
        <f>INDEX(Models!$G$5:$G$15, MATCH(O14, Models!$B$5:$B$15, 0))</f>
        <v/>
      </c>
      <c r="T14" s="35">
        <f>INDEX(Models!$H$5:$H$15, MATCH(O14, Models!$B$5:$B$15, 0))</f>
        <v/>
      </c>
      <c r="U14" s="13" t="inlineStr">
        <is>
          <t>MLX-4bit</t>
        </is>
      </c>
      <c r="V14" s="14" t="n">
        <v>4.25</v>
      </c>
      <c r="W14" s="13" t="inlineStr">
        <is>
          <t>resident</t>
        </is>
      </c>
      <c r="X14" s="13" t="n">
        <v>4</v>
      </c>
      <c r="Y14" s="14" t="n">
        <v>980</v>
      </c>
      <c r="Z14" s="14" t="n">
        <v>88</v>
      </c>
      <c r="AA14" s="14" t="n">
        <v>195</v>
      </c>
      <c r="AB14" s="13" t="n">
        <v>8360</v>
      </c>
      <c r="AC14" s="14" t="n">
        <v>186</v>
      </c>
      <c r="AD14" s="35">
        <f>AA14/M14</f>
        <v/>
      </c>
      <c r="AE14" s="35">
        <f>T14*(V14/8)*1.05</f>
        <v/>
      </c>
      <c r="AF14" s="35">
        <f>J14/(S14*(V14/8))</f>
        <v/>
      </c>
      <c r="AG14" s="17">
        <f>Z14/AF14</f>
        <v/>
      </c>
      <c r="AH14" s="28">
        <f>IF(AC14&gt;I14,"FAIL:_EXCEEDS_NODE_RAM",IF(AND(W14="resident",AC14&lt;AE14),"FAIL:_WEIGHTS_EXCEED_PEAK_RAM",IF(AG14&gt;1.05,"FAIL:_EXCEEDS_ROOFLINE","PASS")))</f>
        <v/>
      </c>
      <c r="AI14" s="16">
        <f>((L14*(1-Exchange_Economics!$B$6))/(Exchange_Economics!$B$5*8760*Exchange_Economics!$B$8)+(M14/1000)*Exchange_Economics!$B$7)/(Z14*3600)*1000000</f>
        <v/>
      </c>
      <c r="AJ14" s="16">
        <f>((L14*(1-Exchange_Economics!$B$6))/(Exchange_Economics!$B$5*8760*Exchange_Economics!$B$9)+(M14/1000)*Exchange_Economics!$B$7)/(AA14*3600)*1000000</f>
        <v/>
      </c>
      <c r="AK14" s="35">
        <f>INDEX(Models!$I$5:$I$15, MATCH(O14, Models!$B$5:$B$15, 0))</f>
        <v/>
      </c>
      <c r="AL14" s="16">
        <f>INDEX(Models!$M$5:$M$15, MATCH(O14, Models!$B$5:$B$15, 0))</f>
        <v/>
      </c>
      <c r="AM14" s="17">
        <f>(AL14-AJ14)/AL14</f>
        <v/>
      </c>
      <c r="AN14" s="13" t="inlineStr">
        <is>
          <t>Roofline-verified M5 Ultra 256GB: 320B in 4.25-bit = 170GB weights + 16GB KV = 186GB; 18B active -&gt; 88 tok/s single</t>
        </is>
      </c>
    </row>
    <row r="15" ht="22" customHeight="1">
      <c r="A15" s="25" t="inlineStr">
        <is>
          <t>EXP-011</t>
        </is>
      </c>
      <c r="B15" s="19" t="inlineStr">
        <is>
          <t>2026-10-11</t>
        </is>
      </c>
      <c r="C15" s="19" t="inlineStr">
        <is>
          <t>TIER_3_ROOFLINE_MODEL</t>
        </is>
      </c>
      <c r="D15" s="19" t="inlineStr">
        <is>
          <t>HW-002</t>
        </is>
      </c>
      <c r="E15" s="26">
        <f>INDEX(Hardware!$B$5:$B$9, MATCH(D15, Hardware!$A$5:$A$9, 0))</f>
        <v/>
      </c>
      <c r="F15" s="26">
        <f>INDEX(Hardware!$C$5:$C$9, MATCH(D15, Hardware!$A$5:$A$9, 0))</f>
        <v/>
      </c>
      <c r="G15" s="26">
        <f>INDEX(Hardware!$E$5:$E$9, MATCH(D15, Hardware!$A$5:$A$9, 0))</f>
        <v/>
      </c>
      <c r="H15" s="26">
        <f>INDEX(Hardware!$F$5:$F$9, MATCH(D15, Hardware!$A$5:$A$9, 0))</f>
        <v/>
      </c>
      <c r="I15" s="26">
        <f>INDEX(Hardware!$G$5:$G$9, MATCH(D15, Hardware!$A$5:$A$9, 0))</f>
        <v/>
      </c>
      <c r="J15" s="26">
        <f>INDEX(Hardware!$J$5:$J$9, MATCH(D15, Hardware!$A$5:$A$9, 0))</f>
        <v/>
      </c>
      <c r="K15" s="26">
        <f>INDEX(Hardware!$L$5:$L$9, MATCH(D15, Hardware!$A$5:$A$9, 0))</f>
        <v/>
      </c>
      <c r="L15" s="32">
        <f>INDEX(Hardware!$M$5:$M$9, MATCH(D15, Hardware!$A$5:$A$9, 0))</f>
        <v/>
      </c>
      <c r="M15" s="19" t="n">
        <v>195</v>
      </c>
      <c r="N15" s="19" t="inlineStr">
        <is>
          <t>oMLX (v0.22.0)</t>
        </is>
      </c>
      <c r="O15" s="25" t="inlineStr">
        <is>
          <t>DeepSeek-V4.1-Flash</t>
        </is>
      </c>
      <c r="P15" s="26">
        <f>INDEX(Models!$C$5:$C$15, MATCH(O15, Models!$B$5:$B$15, 0))</f>
        <v/>
      </c>
      <c r="Q15" s="26">
        <f>INDEX(Models!$E$5:$E$15, MATCH(O15, Models!$B$5:$B$15, 0))</f>
        <v/>
      </c>
      <c r="R15" s="33">
        <f>INDEX(Models!$F$5:$F$15, MATCH(O15, Models!$B$5:$B$15, 0))</f>
        <v/>
      </c>
      <c r="S15" s="33">
        <f>INDEX(Models!$G$5:$G$15, MATCH(O15, Models!$B$5:$B$15, 0))</f>
        <v/>
      </c>
      <c r="T15" s="33">
        <f>INDEX(Models!$H$5:$H$15, MATCH(O15, Models!$B$5:$B$15, 0))</f>
        <v/>
      </c>
      <c r="U15" s="19" t="inlineStr">
        <is>
          <t>Dynamic-Q2.7 + NVMe Engram</t>
        </is>
      </c>
      <c r="V15" s="20" t="n">
        <v>2.75</v>
      </c>
      <c r="W15" s="19" t="inlineStr">
        <is>
          <t>nvme_paged</t>
        </is>
      </c>
      <c r="X15" s="19" t="n">
        <v>4</v>
      </c>
      <c r="Y15" s="20" t="n">
        <v>840</v>
      </c>
      <c r="Z15" s="20" t="n">
        <v>48.2</v>
      </c>
      <c r="AA15" s="20" t="n">
        <v>115</v>
      </c>
      <c r="AB15" s="19" t="n">
        <v>9750</v>
      </c>
      <c r="AC15" s="20" t="n">
        <v>212</v>
      </c>
      <c r="AD15" s="33">
        <f>AA15/M15</f>
        <v/>
      </c>
      <c r="AE15" s="33">
        <f>T15*(V15/8)*1.05</f>
        <v/>
      </c>
      <c r="AF15" s="33">
        <f>J15/(S15*(V15/8))</f>
        <v/>
      </c>
      <c r="AG15" s="23">
        <f>Z15/AF15</f>
        <v/>
      </c>
      <c r="AH15" s="26">
        <f>IF(AC15&gt;I15,"FAIL:_EXCEEDS_NODE_RAM",IF(AND(W15="resident",AC15&lt;AE15),"FAIL:_WEIGHTS_EXCEED_PEAK_RAM",IF(AG15&gt;1.05,"FAIL:_EXCEEDS_ROOFLINE","PASS")))</f>
        <v/>
      </c>
      <c r="AI15" s="22">
        <f>((L15*(1-Exchange_Economics!$B$6))/(Exchange_Economics!$B$5*8760*Exchange_Economics!$B$8)+(M15/1000)*Exchange_Economics!$B$7)/(Z15*3600)*1000000</f>
        <v/>
      </c>
      <c r="AJ15" s="22">
        <f>((L15*(1-Exchange_Economics!$B$6))/(Exchange_Economics!$B$5*8760*Exchange_Economics!$B$9)+(M15/1000)*Exchange_Economics!$B$7)/(AA15*3600)*1000000</f>
        <v/>
      </c>
      <c r="AK15" s="33">
        <f>INDEX(Models!$I$5:$I$15, MATCH(O15, Models!$B$5:$B$15, 0))</f>
        <v/>
      </c>
      <c r="AL15" s="22">
        <f>INDEX(Models!$M$5:$M$15, MATCH(O15, Models!$B$5:$B$15, 0))</f>
        <v/>
      </c>
      <c r="AM15" s="23">
        <f>(AL15-AJ15)/AL15</f>
        <v/>
      </c>
      <c r="AN15" s="19" t="inlineStr">
        <is>
          <t>Analytical model on M5 Ultra 256GB: 552B MoE backbone in 2.75-bit (~190GB RAM) + 196B Engram streamed from NVMe</t>
        </is>
      </c>
    </row>
    <row r="16" ht="22" customHeight="1">
      <c r="A16" s="24" t="inlineStr">
        <is>
          <t>EXP-012</t>
        </is>
      </c>
      <c r="B16" s="13" t="inlineStr">
        <is>
          <t>2026-10-11</t>
        </is>
      </c>
      <c r="C16" s="13" t="inlineStr">
        <is>
          <t>TIER_3_ROOFLINE_MODEL</t>
        </is>
      </c>
      <c r="D16" s="13" t="inlineStr">
        <is>
          <t>HW-001</t>
        </is>
      </c>
      <c r="E16" s="28">
        <f>INDEX(Hardware!$B$5:$B$9, MATCH(D16, Hardware!$A$5:$A$9, 0))</f>
        <v/>
      </c>
      <c r="F16" s="28">
        <f>INDEX(Hardware!$C$5:$C$9, MATCH(D16, Hardware!$A$5:$A$9, 0))</f>
        <v/>
      </c>
      <c r="G16" s="28">
        <f>INDEX(Hardware!$E$5:$E$9, MATCH(D16, Hardware!$A$5:$A$9, 0))</f>
        <v/>
      </c>
      <c r="H16" s="28">
        <f>INDEX(Hardware!$F$5:$F$9, MATCH(D16, Hardware!$A$5:$A$9, 0))</f>
        <v/>
      </c>
      <c r="I16" s="28">
        <f>INDEX(Hardware!$G$5:$G$9, MATCH(D16, Hardware!$A$5:$A$9, 0))</f>
        <v/>
      </c>
      <c r="J16" s="28">
        <f>INDEX(Hardware!$J$5:$J$9, MATCH(D16, Hardware!$A$5:$A$9, 0))</f>
        <v/>
      </c>
      <c r="K16" s="28">
        <f>INDEX(Hardware!$L$5:$L$9, MATCH(D16, Hardware!$A$5:$A$9, 0))</f>
        <v/>
      </c>
      <c r="L16" s="34">
        <f>INDEX(Hardware!$M$5:$M$9, MATCH(D16, Hardware!$A$5:$A$9, 0))</f>
        <v/>
      </c>
      <c r="M16" s="13" t="n">
        <v>115</v>
      </c>
      <c r="N16" s="13" t="inlineStr">
        <is>
          <t>vllm-mlx (v0.4.2)</t>
        </is>
      </c>
      <c r="O16" s="24" t="inlineStr">
        <is>
          <t>Qwen3.5-122B-A10B</t>
        </is>
      </c>
      <c r="P16" s="28">
        <f>INDEX(Models!$C$5:$C$15, MATCH(O16, Models!$B$5:$B$15, 0))</f>
        <v/>
      </c>
      <c r="Q16" s="28">
        <f>INDEX(Models!$E$5:$E$15, MATCH(O16, Models!$B$5:$B$15, 0))</f>
        <v/>
      </c>
      <c r="R16" s="35">
        <f>INDEX(Models!$F$5:$F$15, MATCH(O16, Models!$B$5:$B$15, 0))</f>
        <v/>
      </c>
      <c r="S16" s="35">
        <f>INDEX(Models!$G$5:$G$15, MATCH(O16, Models!$B$5:$B$15, 0))</f>
        <v/>
      </c>
      <c r="T16" s="35">
        <f>INDEX(Models!$H$5:$H$15, MATCH(O16, Models!$B$5:$B$15, 0))</f>
        <v/>
      </c>
      <c r="U16" s="13" t="inlineStr">
        <is>
          <t>MLX-4bit</t>
        </is>
      </c>
      <c r="V16" s="14" t="n">
        <v>4.25</v>
      </c>
      <c r="W16" s="13" t="inlineStr">
        <is>
          <t>resident</t>
        </is>
      </c>
      <c r="X16" s="13" t="n">
        <v>4</v>
      </c>
      <c r="Y16" s="14" t="n">
        <v>820</v>
      </c>
      <c r="Z16" s="14" t="n">
        <v>76.5</v>
      </c>
      <c r="AA16" s="14" t="n">
        <v>168</v>
      </c>
      <c r="AB16" s="13" t="n">
        <v>4995</v>
      </c>
      <c r="AC16" s="14" t="n">
        <v>74.5</v>
      </c>
      <c r="AD16" s="35">
        <f>AA16/M16</f>
        <v/>
      </c>
      <c r="AE16" s="35">
        <f>T16*(V16/8)*1.05</f>
        <v/>
      </c>
      <c r="AF16" s="35">
        <f>J16/(S16*(V16/8))</f>
        <v/>
      </c>
      <c r="AG16" s="17">
        <f>Z16/AF16</f>
        <v/>
      </c>
      <c r="AH16" s="28">
        <f>IF(AC16&gt;I16,"FAIL:_EXCEEDS_NODE_RAM",IF(AND(W16="resident",AC16&lt;AE16),"FAIL:_WEIGHTS_EXCEED_PEAK_RAM",IF(AG16&gt;1.05,"FAIL:_EXCEEDS_ROOFLINE","PASS")))</f>
        <v/>
      </c>
      <c r="AI16" s="16">
        <f>((L16*(1-Exchange_Economics!$B$6))/(Exchange_Economics!$B$5*8760*Exchange_Economics!$B$8)+(M16/1000)*Exchange_Economics!$B$7)/(Z16*3600)*1000000</f>
        <v/>
      </c>
      <c r="AJ16" s="16">
        <f>((L16*(1-Exchange_Economics!$B$6))/(Exchange_Economics!$B$5*8760*Exchange_Economics!$B$9)+(M16/1000)*Exchange_Economics!$B$7)/(AA16*3600)*1000000</f>
        <v/>
      </c>
      <c r="AK16" s="35">
        <f>INDEX(Models!$I$5:$I$15, MATCH(O16, Models!$B$5:$B$15, 0))</f>
        <v/>
      </c>
      <c r="AL16" s="16">
        <f>INDEX(Models!$M$5:$M$15, MATCH(O16, Models!$B$5:$B$15, 0))</f>
        <v/>
      </c>
      <c r="AM16" s="17">
        <f>(AL16-AJ16)/AL16</f>
        <v/>
      </c>
      <c r="AN16" s="13" t="inlineStr">
        <is>
          <t>Roofline-verified M5 Max 128GB: 122B total (64.8GB weights) / 10B active (5.3GB active per token -&gt; 115 tok/s roofline)</t>
        </is>
      </c>
    </row>
  </sheetData>
  <autoFilter ref="A4:AN16"/>
  <mergeCells count="2">
    <mergeCell ref="A2:AO2"/>
    <mergeCell ref="A1:AO1"/>
  </mergeCells>
  <conditionalFormatting sqref="AH5:AH50">
    <cfRule type="cellIs" priority="1" operator="equal" dxfId="0" stopIfTrue="1">
      <formula>"PASS"</formula>
    </cfRule>
    <cfRule type="cellIs" priority="2" operator="notEqual" dxfId="1" stopIfTrue="1">
      <formula>"PASS"</formula>
    </cfRule>
  </conditionalFormatting>
  <dataValidations count="2">
    <dataValidation sqref="C5:C50" showDropDown="0" showInputMessage="0" showErrorMessage="0" allowBlank="0" type="list">
      <formula1>"TIER_1_HARNESS,TIER_2_EXTERNAL_VERIFIED,TIER_3_ROOFLINE_MODEL"</formula1>
    </dataValidation>
    <dataValidation sqref="W5:W50" showDropDown="0" showInputMessage="0" showErrorMessage="0" allowBlank="0" type="list">
      <formula1>"resident,nvme_paged,cpu_offload"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1" t="inlineStr">
        <is>
          <t>README &amp; DATA GOVERNANCE — INFERENCE EXCHANGE LOCAL LLM BENCHMARK LAKE</t>
        </is>
      </c>
      <c r="B1" s="2" t="n"/>
    </row>
    <row r="2" ht="20" customHeight="1">
      <c r="A2" s="3" t="inlineStr">
        <is>
          <t>Relational schema, Physics Roofline Gates, Evidence Tier rules, and Changelog from v1 Audit</t>
        </is>
      </c>
      <c r="B2" s="2" t="n"/>
    </row>
    <row r="4" ht="26" customHeight="1">
      <c r="A4" s="36" t="inlineStr">
        <is>
          <t>Section / Rule</t>
        </is>
      </c>
      <c r="B4" s="36" t="inlineStr">
        <is>
          <t>Specification &amp; Governance Notes</t>
        </is>
      </c>
    </row>
    <row r="5" ht="42" customHeight="1">
      <c r="A5" s="37" t="inlineStr">
        <is>
          <t>Purpose</t>
        </is>
      </c>
      <c r="B5" s="38" t="inlineStr">
        <is>
          <t>Provide a physically verified, formula-driven decision system for Inference Exchange comparing Apple Silicon (M5 Max / M5 Ultra) and NVIDIA DGX Spark local inference nodes against October 2026 Frontier Cloud APIs.</t>
        </is>
      </c>
    </row>
    <row r="6" ht="42" customHeight="1">
      <c r="A6" s="39" t="inlineStr">
        <is>
          <t>Why v2 Replaced v1</t>
        </is>
      </c>
      <c r="B6" s="40" t="inlineStr">
        <is>
          <t>Audit of v1 revealed LLM-hallucinated 'vibe data': (1) URLs cited as 'measured' actually tested different models/hardware (e.g. vllm-mlx #637 is Qwen3-8B on M5 Max 128GB, not DeepSeek-V4.1/GLM-5.3 on M5 Ultra); (2) Physical RAM impossibilities (320B GLM-5.3-Flash claiming 28.5GB in 6-bit); (3) Hardcoded, inverted $/1M token strings; and (4) Mixing raw benchmark % with Artificial Analysis Intelligence Index v4.3.2 scores.</t>
        </is>
      </c>
    </row>
    <row r="7" ht="42" customHeight="1">
      <c r="A7" s="37" t="inlineStr">
        <is>
          <t>Relational Architecture</t>
        </is>
      </c>
      <c r="B7" s="38" t="inlineStr">
        <is>
          <t>Experiments NEVER hardcodes hardware specs, model parameter counts, AA scores, or unit costs. It references Hardware (by hardware_id), Models (by model_name), and Exchange_Economics (global TCO parameters) via live INDEX/MATCH and TCO equations.</t>
        </is>
      </c>
    </row>
    <row r="8" ht="42" customHeight="1">
      <c r="A8" s="39" t="inlineStr">
        <is>
          <t>Automated Physics Gate 1: Memory Residency</t>
        </is>
      </c>
      <c r="B8" s="40" t="inlineStr">
        <is>
          <t>min_weight_ram_gb = resident_params_b * (quant_bits / 8) * 1.05. Any row with offload_mode='resident' where peak_memory_gb &lt; min_weight_ram_gb or peak_memory_gb &gt; total_memory_gb triggers FAIL in column AH.</t>
        </is>
      </c>
    </row>
    <row r="9" ht="42" customHeight="1">
      <c r="A9" s="37" t="inlineStr">
        <is>
          <t>Automated Physics Gate 2: Bandwidth Roofline</t>
        </is>
      </c>
      <c r="B9" s="38" t="inlineStr">
        <is>
          <t>theoretical_roofline_tps = memory_bandwidth_gbps / (active_params_b * (quant_bits / 8)). Real-world single-stream decode without speculative decoding falls between 60% and 88% of roofline. Anything &gt;105% triggers FAIL.</t>
        </is>
      </c>
    </row>
    <row r="10" ht="42" customHeight="1">
      <c r="A10" s="39" t="inlineStr">
        <is>
          <t>Evidence Tiers (Column C)</t>
        </is>
      </c>
      <c r="B10" s="40" t="inlineStr">
        <is>
          <t>TIER_1_HARNESS = Measured by local automated harness with JSON log hash; TIER_2_EXTERNAL_VERIFIED = Verified community benchmark matching the exact model/hardware in the cited URL; TIER_3_ROOFLINE_MODEL = Analytical roofline projection.</t>
        </is>
      </c>
    </row>
    <row r="11" ht="42" customHeight="1">
      <c r="A11" s="37" t="inlineStr">
        <is>
          <t>Repo Sync Workflow</t>
        </is>
      </c>
      <c r="B11" s="38" t="inlineStr">
        <is>
          <t>Run `python research/lakehouse/engine.py` in `inference-exchange-ticker-plant` to validate JSONL runs via Pydantic, materialize Parquet tables, query DuckDB views, and sync formulas to Google Sheets.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2026-10-14T00:22:15Z</dcterms:created>
  <dcterms:modified xmlns:dcterms="http://purl.org/dc/terms/" xmlns:xsi="http://www.w3.org/2001/XMLSchema-instance" xsi:type="dcterms:W3CDTF">2026-10-14T00:22:15Z</dcterms:modified>
</cp:coreProperties>
</file>